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490" windowHeight="7020" tabRatio="600" firstSheet="16" activeTab="21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Country_Master" sheetId="2" state="visible" r:id="rId2"/>
    <sheet xmlns:r="http://schemas.openxmlformats.org/officeDocument/2006/relationships" name="Market_Sizing" sheetId="3" state="visible" r:id="rId3"/>
    <sheet xmlns:r="http://schemas.openxmlformats.org/officeDocument/2006/relationships" name="Demand_Model" sheetId="4" state="visible" r:id="rId4"/>
    <sheet xmlns:r="http://schemas.openxmlformats.org/officeDocument/2006/relationships" name="KOL_Master" sheetId="5" state="visible" r:id="rId5"/>
    <sheet xmlns:r="http://schemas.openxmlformats.org/officeDocument/2006/relationships" name="Major_Hospitals" sheetId="6" state="visible" r:id="rId6"/>
    <sheet xmlns:r="http://schemas.openxmlformats.org/officeDocument/2006/relationships" name="Hot_Areas" sheetId="7" state="visible" r:id="rId7"/>
    <sheet xmlns:r="http://schemas.openxmlformats.org/officeDocument/2006/relationships" name="Top_Distributors" sheetId="8" state="visible" r:id="rId8"/>
    <sheet xmlns:r="http://schemas.openxmlformats.org/officeDocument/2006/relationships" name="Competitor_Master" sheetId="9" state="visible" r:id="rId9"/>
    <sheet xmlns:r="http://schemas.openxmlformats.org/officeDocument/2006/relationships" name="Tender_SKU_Detail" sheetId="10" state="visible" r:id="rId10"/>
    <sheet xmlns:r="http://schemas.openxmlformats.org/officeDocument/2006/relationships" name="NUPCO_Tenders" sheetId="11" state="visible" r:id="rId11"/>
    <sheet xmlns:r="http://schemas.openxmlformats.org/officeDocument/2006/relationships" name="Tender_Master" sheetId="12" state="visible" r:id="rId12"/>
    <sheet xmlns:r="http://schemas.openxmlformats.org/officeDocument/2006/relationships" name="Data_Gaps" sheetId="13" state="visible" r:id="rId13"/>
    <sheet xmlns:r="http://schemas.openxmlformats.org/officeDocument/2006/relationships" name="Audit_Checks" sheetId="14" state="visible" r:id="rId14"/>
    <sheet xmlns:r="http://schemas.openxmlformats.org/officeDocument/2006/relationships" name="QA_Summary" sheetId="15" state="visible" r:id="rId15"/>
    <sheet xmlns:r="http://schemas.openxmlformats.org/officeDocument/2006/relationships" name="Data_Dictionary" sheetId="16" state="visible" r:id="rId16"/>
    <sheet xmlns:r="http://schemas.openxmlformats.org/officeDocument/2006/relationships" name="Source_Register" sheetId="17" state="visible" r:id="rId17"/>
    <sheet xmlns:r="http://schemas.openxmlformats.org/officeDocument/2006/relationships" name="SAU_Country" sheetId="18" state="visible" r:id="rId18"/>
    <sheet xmlns:r="http://schemas.openxmlformats.org/officeDocument/2006/relationships" name="ARE_Country" sheetId="19" state="visible" r:id="rId19"/>
    <sheet xmlns:r="http://schemas.openxmlformats.org/officeDocument/2006/relationships" name="QAT_Country" sheetId="20" state="visible" r:id="rId20"/>
    <sheet xmlns:r="http://schemas.openxmlformats.org/officeDocument/2006/relationships" name="KWT_Country" sheetId="21" state="visible" r:id="rId21"/>
    <sheet xmlns:r="http://schemas.openxmlformats.org/officeDocument/2006/relationships" name="OMN_Country" sheetId="22" state="visible" r:id="rId22"/>
    <sheet xmlns:r="http://schemas.openxmlformats.org/officeDocument/2006/relationships" name="BHR_Country" sheetId="23" state="visible" r:id="rId23"/>
    <sheet xmlns:r="http://schemas.openxmlformats.org/officeDocument/2006/relationships" name="JOR_Country" sheetId="24" state="visible" r:id="rId24"/>
    <sheet xmlns:r="http://schemas.openxmlformats.org/officeDocument/2006/relationships" name="LBN_Country" sheetId="25" state="visible" r:id="rId25"/>
    <sheet xmlns:r="http://schemas.openxmlformats.org/officeDocument/2006/relationships" name="IRQ_Country" sheetId="26" state="visible" r:id="rId26"/>
    <sheet xmlns:r="http://schemas.openxmlformats.org/officeDocument/2006/relationships" name="HD_Facility_Master" sheetId="27" state="visible" r:id="rId27"/>
    <sheet xmlns:r="http://schemas.openxmlformats.org/officeDocument/2006/relationships" name="HD_Facility_Summary" sheetId="28" state="visible" r:id="rId28"/>
    <sheet xmlns:r="http://schemas.openxmlformats.org/officeDocument/2006/relationships" name="HD_Facility_Data_Gaps" sheetId="29" state="visible" r:id="rId29"/>
    <sheet xmlns:r="http://schemas.openxmlformats.org/officeDocument/2006/relationships" name="HD_Facility_Source_Register" sheetId="30" state="visible" r:id="rId30"/>
  </sheets>
  <definedNames>
    <definedName name="_xlnm._FilterDatabase" localSheetId="0" hidden="1">'Executive_Summary'!$A$1:$U$17</definedName>
    <definedName name="_xlnm._FilterDatabase" localSheetId="1" hidden="1">'Country_Master'!$A$1:$U$10</definedName>
    <definedName name="_xlnm._FilterDatabase" localSheetId="2" hidden="1">'Market_Sizing'!$A$1:$N$10</definedName>
    <definedName name="_xlnm._FilterDatabase" localSheetId="3" hidden="1">'Demand_Model'!$A$1:$T$28</definedName>
    <definedName name="_xlnm._FilterDatabase" localSheetId="4" hidden="1">'KOL_Master'!$A$1:$M$13</definedName>
    <definedName name="_xlnm._FilterDatabase" localSheetId="5" hidden="1">'Major_Hospitals'!$A$1:$N$90</definedName>
    <definedName name="_xlnm._FilterDatabase" localSheetId="6" hidden="1">'Hot_Areas'!$A$1:$L$14</definedName>
    <definedName name="_xlnm._FilterDatabase" localSheetId="7" hidden="1">'Top_Distributors'!$A$1:$N$2</definedName>
    <definedName name="_xlnm._FilterDatabase" localSheetId="8" hidden="1">'Competitor_Master'!$A$1:$M$2</definedName>
    <definedName name="_xlnm._FilterDatabase" localSheetId="9" hidden="1">'Tender_SKU_Detail'!$A$1:$S$2</definedName>
    <definedName name="_xlnm._FilterDatabase" localSheetId="10" hidden="1">'NUPCO_Tenders'!$A$1:$Q$2</definedName>
    <definedName name="_xlnm._FilterDatabase" localSheetId="11" hidden="1">'Tender_Master'!$A$1:$Q$3</definedName>
    <definedName name="_xlnm._FilterDatabase" localSheetId="12" hidden="1">'Data_Gaps'!$A$1:$H$29</definedName>
    <definedName name="_xlnm._FilterDatabase" localSheetId="13" hidden="1">'Audit_Checks'!$A$1:$D$20</definedName>
    <definedName name="_xlnm._FilterDatabase" localSheetId="14" hidden="1">'QA_Summary'!$A$1:$D$14</definedName>
    <definedName name="_xlnm._FilterDatabase" localSheetId="15" hidden="1">'Data_Dictionary'!$A$1:$C$25</definedName>
    <definedName name="_xlnm._FilterDatabase" localSheetId="16" hidden="1">'Source_Register'!$A$1:$I$60</definedName>
    <definedName name="_xlnm._FilterDatabase" localSheetId="17" hidden="1">'SAU_Country'!$A$1:$AF$2</definedName>
    <definedName name="_xlnm._FilterDatabase" localSheetId="18" hidden="1">'ARE_Country'!$A$1:$AF$2</definedName>
    <definedName name="_xlnm._FilterDatabase" localSheetId="19" hidden="1">'QAT_Country'!$A$1:$AF$2</definedName>
    <definedName name="_xlnm._FilterDatabase" localSheetId="20" hidden="1">'KWT_Country'!$A$1:$AF$2</definedName>
    <definedName name="_xlnm._FilterDatabase" localSheetId="21" hidden="1">'OMN_Country'!$A$1:$AF$2</definedName>
    <definedName name="_xlnm._FilterDatabase" localSheetId="22" hidden="1">'BHR_Country'!$A$1:$AF$2</definedName>
    <definedName name="_xlnm._FilterDatabase" localSheetId="23" hidden="1">'JOR_Country'!$A$1:$AF$2</definedName>
    <definedName name="_xlnm._FilterDatabase" localSheetId="24" hidden="1">'LBN_Country'!$A$1:$AF$2</definedName>
    <definedName name="_xlnm._FilterDatabase" localSheetId="25" hidden="1">'IRQ_Country'!$A$1:$AF$2</definedName>
    <definedName name="_xlnm._FilterDatabase" localSheetId="26" hidden="1">'HD_Facility_Master'!$A$1:$BC$105</definedName>
    <definedName name="_xlnm._FilterDatabase" localSheetId="27" hidden="1">'HD_Facility_Summary'!$A$1:$T$11</definedName>
    <definedName name="_xlnm._FilterDatabase" localSheetId="28" hidden="1">'HD_Facility_Data_Gaps'!$A$1:$H$345</definedName>
    <definedName name="_xlnm._FilterDatabase" localSheetId="29" hidden="1">'HD_Facility_Source_Register'!$A$1:$K$136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4">
    <font>
      <name val="Calibri"/>
      <charset val="134"/>
      <color theme="1"/>
      <sz val="11"/>
      <scheme val="minor"/>
    </font>
    <font>
      <name val="Calibri"/>
      <charset val="134"/>
      <b val="1"/>
      <color rgb="FFFFFFFF"/>
      <sz val="11"/>
      <scheme val="minor"/>
    </font>
    <font>
      <name val="Calibri"/>
      <charset val="134"/>
      <b val="1"/>
      <sz val="11"/>
      <scheme val="minor"/>
    </font>
    <font>
      <name val="Calibri"/>
      <charset val="134"/>
      <color theme="10"/>
      <sz val="12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b val="1"/>
      <color rgb="00FFFFFF"/>
    </font>
  </fonts>
  <fills count="36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F4E78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/>
    <xf numFmtId="164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165" fontId="4" fillId="0" borderId="0" applyAlignment="1">
      <alignment vertical="center"/>
    </xf>
    <xf numFmtId="42" fontId="4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4" fillId="4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5" borderId="4" applyAlignment="1">
      <alignment vertical="center"/>
    </xf>
    <xf numFmtId="0" fontId="13" fillId="6" borderId="5" applyAlignment="1">
      <alignment vertical="center"/>
    </xf>
    <xf numFmtId="0" fontId="14" fillId="6" borderId="4" applyAlignment="1">
      <alignment vertical="center"/>
    </xf>
    <xf numFmtId="0" fontId="15" fillId="7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1" fillId="34" borderId="0" applyAlignment="1">
      <alignment vertical="center"/>
    </xf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3" borderId="0" pivotButton="0" quotePrefix="0" xfId="0"/>
    <xf numFmtId="0" fontId="3" fillId="0" borderId="0" pivotButton="0" quotePrefix="0" xfId="6"/>
    <xf numFmtId="0" fontId="0" fillId="3" borderId="0" pivotButton="0" quotePrefix="0" xfId="0"/>
    <xf numFmtId="0" fontId="23" fillId="35" borderId="0" applyAlignment="1" pivotButton="0" quotePrefix="0" xfId="0">
      <alignment horizontal="center" vertical="center" wrapText="1"/>
    </xf>
    <xf numFmtId="0" fontId="23" fillId="35" borderId="0" applyAlignment="1" pivotButton="0" quotePrefix="0" xfId="0">
      <alignment vertical="top" wrapText="1"/>
    </xf>
    <xf numFmtId="0" fontId="3" fillId="0" borderId="0" applyAlignment="1" pivotButton="0" quotePrefix="0" xfId="6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en-US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2026 HD Patients by Country</a:t>
            </a:r>
          </a:p>
        </rich>
      </tx>
      <layout/>
      <overlay val="0"/>
    </title>
    <plotArea>
      <layout/>
      <barChart>
        <barDir val="col"/>
        <grouping val="clustered"/>
        <varyColors val="0"/>
        <ser>
          <idx val="0"/>
          <order val="0"/>
          <tx>
            <strRef>
              <f>Executive_Summary!$B$1</f>
              <strCache>
                <ptCount val="1"/>
                <pt idx="0">
                  <v>HD_Patients_2026</v>
                </pt>
              </strCache>
            </strRef>
          </tx>
          <spPr>
            <a:ln xmlns:a="http://schemas.openxmlformats.org/drawingml/2006/main">
              <a:noFill/>
              <a:prstDash val="solid"/>
            </a:ln>
          </spPr>
          <invertIfNegative val="0"/>
          <dLbls>
            <delete val="1"/>
          </dLbls>
          <cat>
            <strRef>
              <f>Executive_Summary!$A$2:$A$10</f>
              <strCache>
                <ptCount val="9"/>
                <pt idx="0">
                  <v>Saudi Arabia</v>
                </pt>
                <pt idx="1">
                  <v>Iraq</v>
                </pt>
                <pt idx="2">
                  <v>Jordan</v>
                </pt>
                <pt idx="3">
                  <v>Lebanon</v>
                </pt>
                <pt idx="4">
                  <v>UAE</v>
                </pt>
                <pt idx="5">
                  <v>Kuwait</v>
                </pt>
                <pt idx="6">
                  <v>Oman</v>
                </pt>
                <pt idx="7">
                  <v>Qatar</v>
                </pt>
                <pt idx="8">
                  <v>Bahrain</v>
                </pt>
              </strCache>
            </strRef>
          </cat>
          <val>
            <numRef>
              <f>Executive_Summary!$B$2:$B$10</f>
              <numCache>
                <formatCode>General</formatCode>
                <ptCount val="9"/>
                <pt idx="0">
                  <v>26206</v>
                </pt>
                <pt idx="1">
                  <v>12411</v>
                </pt>
                <pt idx="2">
                  <v>6571</v>
                </pt>
                <pt idx="3">
                  <v>4871</v>
                </pt>
                <pt idx="4">
                  <v>4560</v>
                </pt>
                <pt idx="5">
                  <v>3402</v>
                </pt>
                <pt idx="6">
                  <v>2984</v>
                </pt>
                <pt idx="7">
                  <v>1026</v>
                </pt>
                <pt idx="8">
                  <v>649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en-US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General" sourceLinked="1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en-US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between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en-US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7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pmc.ncbi.nlm.nih.gov/articles/PMC11253410/" TargetMode="External" Id="rId1"/><Relationship Type="http://schemas.openxmlformats.org/officeDocument/2006/relationships/hyperlink" Target="https://pmc.ncbi.nlm.nih.gov/articles/PMC11490247/" TargetMode="External" Id="rId2"/><Relationship Type="http://schemas.openxmlformats.org/officeDocument/2006/relationships/hyperlink" Target="https://pmc.ncbi.nlm.nih.gov/articles/PMC9943994/" TargetMode="External" Id="rId3"/><Relationship Type="http://schemas.openxmlformats.org/officeDocument/2006/relationships/hyperlink" Target="https://europepmc.org/article/MED/32801244" TargetMode="External" Id="rId4"/><Relationship Type="http://schemas.openxmlformats.org/officeDocument/2006/relationships/hyperlink" Target="https://moh.gov.om/media/lnwjoogy/health-facts-2024.pdf" TargetMode="External" Id="rId5"/><Relationship Type="http://schemas.openxmlformats.org/officeDocument/2006/relationships/hyperlink" Target="https://www.nupco.com/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showGridLines="1" workbookViewId="0">
      <pane ySplit="1" topLeftCell="A2" activePane="bottomLeft" state="frozen"/>
      <selection pane="bottomLeft" activeCell="A1" sqref="A1"/>
      <selection pane="bottomLeft" activeCell="A1" sqref="A1"/>
    </sheetView>
  </sheetViews>
  <sheetFormatPr baseColWidth="8" defaultColWidth="9" defaultRowHeight="15"/>
  <cols>
    <col width="24" customWidth="1" min="1" max="1"/>
    <col width="45" customWidth="1" min="2" max="2"/>
    <col width="45" customWidth="1" min="3" max="3"/>
    <col width="21" customWidth="1" min="4" max="4"/>
    <col width="16" customWidth="1" min="5" max="5"/>
    <col width="10" customWidth="1" min="6" max="6"/>
    <col width="29" customWidth="1" min="7" max="7"/>
    <col width="14" customWidth="1" min="8" max="8"/>
    <col width="27" customWidth="1" min="9" max="9"/>
    <col width="22" customWidth="1" min="10" max="10"/>
    <col width="25" customWidth="1" min="11" max="11"/>
    <col width="10" customWidth="1" min="12" max="12"/>
    <col width="10" customWidth="1" min="13" max="13"/>
    <col width="10" customWidth="1" min="14" max="14"/>
    <col width="10" customWidth="1" min="15" max="15"/>
    <col width="18" customWidth="1" min="16" max="16"/>
    <col width="18" customWidth="1" min="17" max="17"/>
    <col width="45" customWidth="1" min="18" max="18"/>
    <col width="45" customWidth="1" min="19" max="19"/>
    <col width="17" customWidth="1" min="20" max="20"/>
    <col width="20" customWidth="1" min="21" max="21"/>
  </cols>
  <sheetData>
    <row r="1">
      <c r="A1" s="7" t="inlineStr">
        <is>
          <t>Country</t>
        </is>
      </c>
      <c r="B1" s="7" t="inlineStr">
        <is>
          <t>Country_Code</t>
        </is>
      </c>
      <c r="C1" s="7" t="inlineStr">
        <is>
          <t>HD_Patients_2026</t>
        </is>
      </c>
      <c r="D1" s="7" t="inlineStr">
        <is>
          <t>Total_Dialysis_2026</t>
        </is>
      </c>
      <c r="E1" s="7" t="inlineStr">
        <is>
          <t>KRT_Historical</t>
        </is>
      </c>
      <c r="F1" s="7" t="inlineStr">
        <is>
          <t>KRT_Year</t>
        </is>
      </c>
      <c r="G1" s="7" t="inlineStr">
        <is>
          <t>Dialysis_Centers_Historical</t>
        </is>
      </c>
      <c r="H1" s="7" t="inlineStr">
        <is>
          <t>Centers_Year</t>
        </is>
      </c>
      <c r="I1" s="7" t="inlineStr">
        <is>
          <t>Base_Catheter_Demand_2026</t>
        </is>
      </c>
      <c r="J1" s="7" t="inlineStr">
        <is>
          <t>Tunneled_Demand_2026</t>
        </is>
      </c>
      <c r="K1" s="7" t="inlineStr">
        <is>
          <t>NonTunneled_Demand_2026</t>
        </is>
      </c>
      <c r="L1" s="7" t="inlineStr">
        <is>
          <t>ASP</t>
        </is>
      </c>
      <c r="M1" s="7" t="inlineStr">
        <is>
          <t>TAM</t>
        </is>
      </c>
      <c r="N1" s="7" t="inlineStr">
        <is>
          <t>SAM</t>
        </is>
      </c>
      <c r="O1" s="7" t="inlineStr">
        <is>
          <t>SOM</t>
        </is>
      </c>
      <c r="P1" s="7" t="inlineStr">
        <is>
          <t>Investment_Score</t>
        </is>
      </c>
      <c r="Q1" s="7" t="inlineStr">
        <is>
          <t>Investment_Grade</t>
        </is>
      </c>
      <c r="R1" s="7" t="inlineStr">
        <is>
          <t>Key_Strength</t>
        </is>
      </c>
      <c r="S1" s="7" t="inlineStr">
        <is>
          <t>Key_Risk</t>
        </is>
      </c>
      <c r="T1" s="7" t="inlineStr">
        <is>
          <t>Primary_Source_ID</t>
        </is>
      </c>
      <c r="U1" s="7" t="inlineStr">
        <is>
          <t>Primary_Source_URL</t>
        </is>
      </c>
      <c r="V1" s="7" t="inlineStr">
        <is>
          <t>Data_Confidence</t>
        </is>
      </c>
      <c r="W1" s="7" t="inlineStr">
        <is>
          <t>Research_Coverage</t>
        </is>
      </c>
    </row>
    <row r="2">
      <c r="A2" s="2" t="inlineStr">
        <is>
          <t>Saudi Arabia</t>
        </is>
      </c>
      <c r="B2" s="2" t="inlineStr">
        <is>
          <t>SAU</t>
        </is>
      </c>
      <c r="C2" s="2" t="inlineStr"/>
      <c r="D2" s="2" t="inlineStr"/>
      <c r="E2" s="2" t="n">
        <v>22301</v>
      </c>
      <c r="F2" s="2" t="n">
        <v>2021</v>
      </c>
      <c r="G2" s="2" t="n">
        <v>275</v>
      </c>
      <c r="H2" s="2" t="n">
        <v>2021</v>
      </c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>
        <is>
          <t>Strong national dialysis utilization evidence and large verified facility footprint.</t>
        </is>
      </c>
      <c r="S2" s="2" t="inlineStr">
        <is>
          <t>No verified 2026 national HD census or country-specific catheter ASP; facility list is not comprehensive.</t>
        </is>
      </c>
      <c r="T2" t="inlineStr">
        <is>
          <t>SRC-WEB-001</t>
        </is>
      </c>
      <c r="U2" t="inlineStr">
        <is>
          <t>https://pmc.ncbi.nlm.nih.gov/articles/PMC11253410/</t>
        </is>
      </c>
      <c r="V2" s="2" t="inlineStr">
        <is>
          <t>High</t>
        </is>
      </c>
      <c r="W2" s="2" t="inlineStr">
        <is>
          <t>PARTIALLY_VERIFIED</t>
        </is>
      </c>
    </row>
    <row r="3">
      <c r="A3" s="2" t="inlineStr">
        <is>
          <t>UAE</t>
        </is>
      </c>
      <c r="B3" s="2" t="inlineStr">
        <is>
          <t>ARE</t>
        </is>
      </c>
      <c r="C3" s="2" t="inlineStr"/>
      <c r="D3" s="2" t="inlineStr"/>
      <c r="E3" s="2" t="n"/>
      <c r="F3" s="2" t="inlineStr"/>
      <c r="G3" s="2" t="n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>
        <is>
          <t>Strong regulator coverage; Abu Dhabi and Dubai facility evidence available.</t>
        </is>
      </c>
      <c r="S3" s="2" t="inlineStr">
        <is>
          <t>No verified national 2026 HD census or catheter ASP in retrieved sources.</t>
        </is>
      </c>
      <c r="T3" t="inlineStr">
        <is>
          <t>SRC-WEB-011</t>
        </is>
      </c>
      <c r="U3" t="inlineStr">
        <is>
          <t>https://www.doh.gov.ae/-/media/Feature/Muashir/Jawda/2026/Dialysis-Facilities-Jawda-GuidanceV101Effective-from-Q2-2026.ashx</t>
        </is>
      </c>
      <c r="V3" s="2" t="inlineStr">
        <is>
          <t>Medium</t>
        </is>
      </c>
      <c r="W3" s="2" t="inlineStr">
        <is>
          <t>PARTIALLY_VERIFIED</t>
        </is>
      </c>
    </row>
    <row r="4">
      <c r="A4" s="2" t="inlineStr">
        <is>
          <t>Qatar</t>
        </is>
      </c>
      <c r="B4" s="2" t="inlineStr">
        <is>
          <t>QAT</t>
        </is>
      </c>
      <c r="C4" s="2" t="inlineStr"/>
      <c r="D4" s="2" t="inlineStr"/>
      <c r="E4" s="2" t="n"/>
      <c r="F4" s="2" t="inlineStr"/>
      <c r="G4" s="2" t="n">
        <v>6</v>
      </c>
      <c r="H4" s="2" t="n">
        <v>2021</v>
      </c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>
        <is>
          <t>Highly transparent HMC dialysis network with station-level evidence.</t>
        </is>
      </c>
      <c r="S4" s="2" t="inlineStr">
        <is>
          <t>Catheter-specific demand and ASP evidence not established; current facility list needs ongoing update.</t>
        </is>
      </c>
      <c r="T4" t="inlineStr">
        <is>
          <t>SRC-WEB-024</t>
        </is>
      </c>
      <c r="U4" t="inlineStr">
        <is>
          <t>https://pmc.ncbi.nlm.nih.gov/articles/PMC11102569/</t>
        </is>
      </c>
      <c r="V4" s="2" t="inlineStr">
        <is>
          <t>High</t>
        </is>
      </c>
      <c r="W4" s="2" t="inlineStr">
        <is>
          <t>PARTIALLY_VERIFIED</t>
        </is>
      </c>
    </row>
    <row r="5">
      <c r="A5" s="2" t="inlineStr">
        <is>
          <t>Kuwait</t>
        </is>
      </c>
      <c r="B5" s="2" t="inlineStr">
        <is>
          <t>KWT</t>
        </is>
      </c>
      <c r="C5" s="2" t="inlineStr"/>
      <c r="D5" s="2" t="inlineStr"/>
      <c r="E5" s="2" t="n">
        <v>2275</v>
      </c>
      <c r="F5" s="2" t="n">
        <v>2020</v>
      </c>
      <c r="G5" s="2" t="n">
        <v>11</v>
      </c>
      <c r="H5" s="2" t="n">
        <v>2020</v>
      </c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>
        <is>
          <t>Strong peer-reviewed evidence on hospital-based HD and procurement structure.</t>
        </is>
      </c>
      <c r="S5" s="2" t="inlineStr">
        <is>
          <t>No public country-specific catheter ASP; facility-level station counts remain incomplete.</t>
        </is>
      </c>
      <c r="T5" t="inlineStr">
        <is>
          <t>SRC-WEB-027</t>
        </is>
      </c>
      <c r="U5" t="inlineStr">
        <is>
          <t>https://pmc.ncbi.nlm.nih.gov/articles/PMC8791361/</t>
        </is>
      </c>
      <c r="V5" s="2" t="inlineStr">
        <is>
          <t>High</t>
        </is>
      </c>
      <c r="W5" s="2" t="inlineStr">
        <is>
          <t>PARTIALLY_VERIFIED</t>
        </is>
      </c>
    </row>
    <row r="6">
      <c r="A6" s="2" t="inlineStr">
        <is>
          <t>Oman</t>
        </is>
      </c>
      <c r="B6" s="2" t="inlineStr">
        <is>
          <t>OMN</t>
        </is>
      </c>
      <c r="C6" s="2" t="inlineStr"/>
      <c r="D6" s="2" t="inlineStr"/>
      <c r="E6" s="2" t="n"/>
      <c r="F6" s="2" t="inlineStr"/>
      <c r="G6" s="2" t="n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>
        <is>
          <t>Named facility-level HD evidence across multiple governorates.</t>
        </is>
      </c>
      <c r="S6" s="2" t="inlineStr">
        <is>
          <t>Many named facilities are supported by 2013/2023 studies; current status should be rechecked.</t>
        </is>
      </c>
      <c r="T6" t="inlineStr">
        <is>
          <t>SRC-WEB-031</t>
        </is>
      </c>
      <c r="U6" t="inlineStr">
        <is>
          <t>https://pmc.ncbi.nlm.nih.gov/articles/PMC10686920/</t>
        </is>
      </c>
      <c r="V6" s="2" t="inlineStr">
        <is>
          <t>High</t>
        </is>
      </c>
      <c r="W6" s="2" t="inlineStr">
        <is>
          <t>PARTIALLY_VERIFIED</t>
        </is>
      </c>
    </row>
    <row r="7">
      <c r="A7" s="2" t="inlineStr">
        <is>
          <t>Bahrain</t>
        </is>
      </c>
      <c r="B7" s="2" t="inlineStr">
        <is>
          <t>BHR</t>
        </is>
      </c>
      <c r="C7" s="2" t="inlineStr"/>
      <c r="D7" s="2" t="inlineStr"/>
      <c r="E7" s="2" t="n"/>
      <c r="F7" s="2" t="inlineStr"/>
      <c r="G7" s="2" t="n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>
        <is>
          <t>Government dialysis center evidence available, but broader facility coverage is limited.</t>
        </is>
      </c>
      <c r="S7" s="2" t="inlineStr">
        <is>
          <t>Facility coverage is materially incomplete beyond two verified centers.</t>
        </is>
      </c>
      <c r="T7" t="inlineStr">
        <is>
          <t>SRC-WEB-037</t>
        </is>
      </c>
      <c r="U7" t="inlineStr">
        <is>
          <t>https://www.moh.gov.bh/Content/Upload/File/638728900890233427-Annual-Health-Statistic-2021-2022--Report_en.pdf</t>
        </is>
      </c>
      <c r="V7" s="2" t="inlineStr">
        <is>
          <t>Medium</t>
        </is>
      </c>
      <c r="W7" s="2" t="inlineStr">
        <is>
          <t>PARTIALLY_VERIFIED</t>
        </is>
      </c>
    </row>
    <row r="8">
      <c r="A8" s="2" t="inlineStr">
        <is>
          <t>Jordan</t>
        </is>
      </c>
      <c r="B8" s="2" t="inlineStr">
        <is>
          <t>JOR</t>
        </is>
      </c>
      <c r="C8" s="2" t="inlineStr"/>
      <c r="D8" s="2" t="inlineStr"/>
      <c r="E8" s="2" t="n"/>
      <c r="F8" s="2" t="inlineStr"/>
      <c r="G8" s="2" t="n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>
        <is>
          <t>Recent multicenter evidence verifies multiple government/university HD units.</t>
        </is>
      </c>
      <c r="S8" s="2" t="inlineStr">
        <is>
          <t>National facility coverage and current station counts are incomplete.</t>
        </is>
      </c>
      <c r="T8" t="inlineStr">
        <is>
          <t>SRC-WEB-040</t>
        </is>
      </c>
      <c r="U8" t="inlineStr">
        <is>
          <t>https://pmc.ncbi.nlm.nih.gov/articles/PMC11486397/</t>
        </is>
      </c>
      <c r="V8" s="2" t="inlineStr">
        <is>
          <t>High</t>
        </is>
      </c>
      <c r="W8" s="2" t="inlineStr">
        <is>
          <t>PARTIALLY_VERIFIED</t>
        </is>
      </c>
    </row>
    <row r="9">
      <c r="A9" s="2" t="inlineStr">
        <is>
          <t>Lebanon</t>
        </is>
      </c>
      <c r="B9" s="2" t="inlineStr">
        <is>
          <t>LBN</t>
        </is>
      </c>
      <c r="C9" s="2" t="inlineStr"/>
      <c r="D9" s="2" t="inlineStr"/>
      <c r="E9" s="2" t="n"/>
      <c r="F9" s="2" t="inlineStr"/>
      <c r="G9" s="2" t="n">
        <v>60</v>
      </c>
      <c r="H9" s="2" t="n">
        <v>2015</v>
      </c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>
        <is>
          <t>National evidence confirms hospital-based HD and a broad facility network.</t>
        </is>
      </c>
      <c r="S9" s="2" t="inlineStr">
        <is>
          <t>Most facility evidence is 2021-2025; current 2026 station/capacity data are incomplete.</t>
        </is>
      </c>
      <c r="T9" t="inlineStr">
        <is>
          <t>SRC-WEB-045</t>
        </is>
      </c>
      <c r="U9" t="inlineStr">
        <is>
          <t>https://pmc.ncbi.nlm.nih.gov/articles/PMC4707162/</t>
        </is>
      </c>
      <c r="V9" s="2" t="inlineStr">
        <is>
          <t>High</t>
        </is>
      </c>
      <c r="W9" s="2" t="inlineStr">
        <is>
          <t>PARTIALLY_VERIFIED</t>
        </is>
      </c>
    </row>
    <row r="10">
      <c r="A10" s="2" t="inlineStr">
        <is>
          <t>Iraq</t>
        </is>
      </c>
      <c r="B10" s="2" t="inlineStr">
        <is>
          <t>IRQ</t>
        </is>
      </c>
      <c r="C10" s="2" t="inlineStr"/>
      <c r="D10" s="2" t="inlineStr"/>
      <c r="E10" s="2" t="n"/>
      <c r="F10" s="2" t="n"/>
      <c r="G10" s="2" t="n">
        <v>19</v>
      </c>
      <c r="H10" s="2" t="n">
        <v>2018</v>
      </c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>
        <is>
          <t>2023 national HD study provides current patient distribution; facility names remain incompletely disclosed.</t>
        </is>
      </c>
      <c r="S10" s="2" t="inlineStr">
        <is>
          <t>Named facility-level evidence is limited despite national patient data; 2018 center count is historical.</t>
        </is>
      </c>
      <c r="T10" t="inlineStr">
        <is>
          <t>SRC-WEB-050</t>
        </is>
      </c>
      <c r="U10" t="inlineStr">
        <is>
          <t>https://iqnjm.com/index.php/homepage/article/view/187</t>
        </is>
      </c>
      <c r="V10" s="2" t="inlineStr">
        <is>
          <t>High</t>
        </is>
      </c>
      <c r="W10" s="2" t="inlineStr">
        <is>
          <t>PARTIALLY_VERIFIED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V11" s="2" t="n"/>
      <c r="W11" s="2" t="n"/>
    </row>
    <row r="12">
      <c r="A12" s="2" t="inlineStr">
        <is>
          <t>Management QA Flags</t>
        </is>
      </c>
      <c r="B12" s="2" t="inlineStr">
        <is>
          <t>Status</t>
        </is>
      </c>
      <c r="C12" s="2" t="inlineStr">
        <is>
          <t>Note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V12" s="2" t="n"/>
      <c r="W12" s="2" t="n"/>
    </row>
    <row r="13">
      <c r="A13" s="2" t="inlineStr">
        <is>
          <t>2026 HD patient totals</t>
        </is>
      </c>
      <c r="B13" s="2" t="inlineStr">
        <is>
          <t>BLANK / NEEDS_VERIFICATION</t>
        </is>
      </c>
      <c r="C13" s="2" t="inlineStr">
        <is>
          <t>No country-specific 2026 observed census was verified.</t>
        </is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V13" s="2" t="n"/>
      <c r="W13" s="2" t="n"/>
    </row>
    <row r="14">
      <c r="A14" s="2" t="inlineStr">
        <is>
          <t>2026 catheter demand</t>
        </is>
      </c>
      <c r="B14" s="2" t="inlineStr">
        <is>
          <t>BLANK / NEEDS_VERIFICATION</t>
        </is>
      </c>
      <c r="C14" s="2" t="inlineStr">
        <is>
          <t>No country-specific catheter utilization prevalence sufficient to support 2026 unit demand.</t>
        </is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V14" s="2" t="n"/>
      <c r="W14" s="2" t="n"/>
    </row>
    <row r="15">
      <c r="A15" s="2" t="inlineStr">
        <is>
          <t>ASP / TAM / SAM / SOM</t>
        </is>
      </c>
      <c r="B15" s="2" t="inlineStr">
        <is>
          <t>BLANK / NEEDS_VERIFICATION</t>
        </is>
      </c>
      <c r="C15" s="2" t="inlineStr">
        <is>
          <t>No reliable country-specific public catheter ASP was verified.</t>
        </is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V15" s="2" t="n"/>
      <c r="W15" s="2" t="n"/>
    </row>
    <row r="16">
      <c r="A16" s="2" t="inlineStr">
        <is>
          <t>Tender SKU pricing</t>
        </is>
      </c>
      <c r="B16" s="2" t="inlineStr">
        <is>
          <t>BLANK / NOT_PUBLICLY_DISCLOSED</t>
        </is>
      </c>
      <c r="C16" s="2" t="inlineStr">
        <is>
          <t>No verified public tender unit price retained.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V16" s="2" t="n"/>
      <c r="W16" s="2" t="n"/>
    </row>
    <row r="17">
      <c r="A17" s="2" t="inlineStr">
        <is>
          <t>Facility database</t>
        </is>
      </c>
      <c r="B17" s="2" t="inlineStr">
        <is>
          <t>104 verified source-backed facility records</t>
        </is>
      </c>
      <c r="C17" s="2" t="inlineStr">
        <is>
          <t>Coverage is not claimed as exhaustive.</t>
        </is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V17" s="2" t="n"/>
      <c r="W17" s="2" t="n"/>
    </row>
  </sheetData>
  <autoFilter ref="A1:U17">
    <sortState ref="A2:F10">
      <sortCondition descending="1" ref="B1"/>
    </sortState>
  </autoFilter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"/>
  <sheetViews>
    <sheetView showGridLines="1" workbookViewId="0">
      <pane ySplit="1" topLeftCell="A2" activePane="bottomLeft" state="frozen"/>
      <selection pane="bottomLeft" activeCell="A1" sqref="A1"/>
      <selection pane="bottomLeft" activeCell="D12" sqref="D12"/>
    </sheetView>
  </sheetViews>
  <sheetFormatPr baseColWidth="8" defaultColWidth="9" defaultRowHeight="15"/>
  <cols>
    <col width="14" customWidth="1" min="1" max="1"/>
    <col width="14" customWidth="1" min="2" max="2"/>
    <col width="12" customWidth="1" min="3" max="3"/>
    <col width="17" customWidth="1" min="4" max="4"/>
    <col width="21" customWidth="1" min="5" max="5"/>
    <col width="10" customWidth="1" min="6" max="6"/>
    <col width="21" customWidth="1" min="7" max="7"/>
    <col width="15" customWidth="1" min="8" max="8"/>
    <col width="10" customWidth="1" min="9" max="9"/>
    <col width="19" customWidth="1" min="10" max="10"/>
    <col width="18" customWidth="1" min="11" max="11"/>
    <col width="14" customWidth="1" min="12" max="12"/>
    <col width="10" customWidth="1" min="13" max="13"/>
    <col width="20" customWidth="1" min="14" max="14"/>
    <col width="16" customWidth="1" min="15" max="15"/>
    <col width="20" customWidth="1" min="16" max="16"/>
    <col width="12" customWidth="1" min="17" max="17"/>
    <col width="13" customWidth="1" min="18" max="18"/>
    <col width="45" customWidth="1" min="19" max="19"/>
    <col width="45" customWidth="1" min="20" max="20"/>
    <col width="14" customWidth="1" min="21" max="21"/>
  </cols>
  <sheetData>
    <row r="1" ht="30" customHeight="1">
      <c r="A1" s="8" t="inlineStr">
        <is>
          <t>Country</t>
        </is>
      </c>
      <c r="B1" s="8" t="inlineStr">
        <is>
          <t>Country_Code</t>
        </is>
      </c>
      <c r="C1" s="8" t="inlineStr">
        <is>
          <t>Population</t>
        </is>
      </c>
      <c r="D1" s="8" t="inlineStr">
        <is>
          <t>Population_Year</t>
        </is>
      </c>
      <c r="E1" s="8" t="inlineStr">
        <is>
          <t>KRT_ESRD_Population</t>
        </is>
      </c>
      <c r="F1" s="8" t="inlineStr">
        <is>
          <t>KRT_Year</t>
        </is>
      </c>
      <c r="G1" s="8" t="inlineStr">
        <is>
          <t>ESRD_Prevalence_PMP</t>
        </is>
      </c>
      <c r="H1" s="8" t="inlineStr">
        <is>
          <t>HD_Population</t>
        </is>
      </c>
      <c r="I1" s="8" t="inlineStr">
        <is>
          <t>HD_Year</t>
        </is>
      </c>
      <c r="J1" s="8" t="inlineStr">
        <is>
          <t>HD_Prevalence_PMP</t>
        </is>
      </c>
      <c r="K1" s="8" t="inlineStr">
        <is>
          <t>Dialysis_Centers</t>
        </is>
      </c>
      <c r="L1" s="8" t="inlineStr">
        <is>
          <t>Centers_Year</t>
        </is>
      </c>
      <c r="M1" s="8" t="inlineStr">
        <is>
          <t>HD_Units</t>
        </is>
      </c>
      <c r="N1" s="8" t="inlineStr">
        <is>
          <t>Transplant_Centers</t>
        </is>
      </c>
      <c r="O1" s="8" t="inlineStr">
        <is>
          <t>Reference_Year</t>
        </is>
      </c>
      <c r="P1" s="8" t="inlineStr">
        <is>
          <t>Evidence_Level</t>
        </is>
      </c>
      <c r="Q1" s="8" t="inlineStr">
        <is>
          <t>Confidence</t>
        </is>
      </c>
      <c r="R1" s="8" t="inlineStr">
        <is>
          <t>Source_ID</t>
        </is>
      </c>
      <c r="S1" s="8" t="inlineStr">
        <is>
          <t>Source_URL</t>
        </is>
      </c>
      <c r="T1" s="8" t="inlineStr">
        <is>
          <t>Evidence_Note</t>
        </is>
      </c>
      <c r="U1" s="8" t="inlineStr">
        <is>
          <t>2026_Status</t>
        </is>
      </c>
    </row>
    <row r="2">
      <c r="A2" s="2" t="inlineStr">
        <is>
          <t>Saudi Arabia</t>
        </is>
      </c>
      <c r="B2" s="2" t="inlineStr">
        <is>
          <t>SAU</t>
        </is>
      </c>
      <c r="C2" s="2" t="inlineStr"/>
      <c r="D2" s="2" t="inlineStr"/>
      <c r="E2" s="2" t="n">
        <v>22301</v>
      </c>
      <c r="F2" s="2" t="n">
        <v>2021</v>
      </c>
      <c r="G2" s="2" t="inlineStr"/>
      <c r="H2" s="2" t="n">
        <v>20440</v>
      </c>
      <c r="I2" s="2" t="n">
        <v>2021</v>
      </c>
      <c r="J2" s="2" t="inlineStr"/>
      <c r="K2" s="2" t="n">
        <v>275</v>
      </c>
      <c r="L2" s="2" t="n">
        <v>2021</v>
      </c>
      <c r="M2" s="2" t="inlineStr"/>
      <c r="N2" s="2" t="inlineStr"/>
      <c r="O2" s="2" t="inlineStr"/>
      <c r="P2" s="2" t="inlineStr">
        <is>
          <t>DERIVED</t>
        </is>
      </c>
      <c r="Q2" s="2" t="inlineStr">
        <is>
          <t>Medium</t>
        </is>
      </c>
      <c r="R2" s="2" t="inlineStr">
        <is>
          <t>SRC-WEB-001</t>
        </is>
      </c>
      <c r="S2" s="2" t="inlineStr">
        <is>
          <t>https://pmc.ncbi.nlm.nih.gov/articles/PMC11253410/</t>
        </is>
      </c>
      <c r="T2" s="2" t="inlineStr">
        <is>
          <t>KRT derived as 20,440 HD + 1,861 PD from the same 2021 study; not an observed KRT census.</t>
        </is>
      </c>
      <c r="U2" s="2" t="inlineStr">
        <is>
          <t>NOT_VERIFIED</t>
        </is>
      </c>
    </row>
    <row r="3">
      <c r="A3" s="2" t="inlineStr">
        <is>
          <t>UAE</t>
        </is>
      </c>
      <c r="B3" s="2" t="inlineStr">
        <is>
          <t>ARE</t>
        </is>
      </c>
      <c r="C3" s="2" t="inlineStr"/>
      <c r="D3" s="2" t="inlineStr"/>
      <c r="E3" s="2" t="n"/>
      <c r="F3" s="2" t="inlineStr"/>
      <c r="G3" s="2" t="inlineStr"/>
      <c r="H3" s="2" t="n"/>
      <c r="I3" s="2" t="inlineStr"/>
      <c r="J3" s="2" t="inlineStr"/>
      <c r="K3" s="2" t="n"/>
      <c r="L3" s="2" t="inlineStr"/>
      <c r="M3" s="2" t="inlineStr"/>
      <c r="N3" s="2" t="inlineStr"/>
      <c r="O3" s="2" t="inlineStr"/>
      <c r="P3" s="2" t="inlineStr">
        <is>
          <t>NEEDS_VERIFICATION</t>
        </is>
      </c>
      <c r="Q3" s="2" t="inlineStr">
        <is>
          <t>Low</t>
        </is>
      </c>
      <c r="R3" s="2" t="inlineStr">
        <is>
          <t>SRC-WEB-011</t>
        </is>
      </c>
      <c r="S3" s="2" t="inlineStr">
        <is>
          <t>https://www.doh.gov.ae/-/media/Feature/Muashir/Jawda/2026/Dialysis-Facilities-Jawda-GuidanceV101Effective-from-Q2-2026.ashx</t>
        </is>
      </c>
      <c r="T3" s="2" t="inlineStr">
        <is>
          <t>Current DoH guidance confirms licensed HD/home-dialysis facilities but does not publish national patient totals in the source.</t>
        </is>
      </c>
      <c r="U3" s="2" t="inlineStr">
        <is>
          <t>NOT_VERIFIED</t>
        </is>
      </c>
    </row>
    <row r="4">
      <c r="A4" s="2" t="inlineStr">
        <is>
          <t>Qatar</t>
        </is>
      </c>
      <c r="B4" s="2" t="inlineStr">
        <is>
          <t>QAT</t>
        </is>
      </c>
      <c r="C4" s="2" t="inlineStr"/>
      <c r="D4" s="2" t="inlineStr"/>
      <c r="E4" s="2" t="n"/>
      <c r="F4" s="2" t="inlineStr"/>
      <c r="G4" s="2" t="inlineStr"/>
      <c r="H4" s="2" t="n"/>
      <c r="I4" s="2" t="inlineStr"/>
      <c r="J4" s="2" t="inlineStr"/>
      <c r="K4" s="2" t="n">
        <v>6</v>
      </c>
      <c r="L4" s="2" t="n">
        <v>2021</v>
      </c>
      <c r="M4" s="2" t="inlineStr"/>
      <c r="N4" s="2" t="inlineStr"/>
      <c r="O4" s="2" t="inlineStr"/>
      <c r="P4" s="2" t="inlineStr">
        <is>
          <t>OBSERVED</t>
        </is>
      </c>
      <c r="Q4" s="2" t="inlineStr">
        <is>
          <t>Very High</t>
        </is>
      </c>
      <c r="R4" s="2" t="inlineStr">
        <is>
          <t>SRC-WEB-024</t>
        </is>
      </c>
      <c r="S4" s="2" t="inlineStr">
        <is>
          <t>https://pmc.ncbi.nlm.nih.gov/articles/PMC11102569/</t>
        </is>
      </c>
      <c r="T4" s="2" t="inlineStr">
        <is>
          <t>Six outpatient ambulatory dialysis facilities in 2021; facility-level stations are separately captured.</t>
        </is>
      </c>
      <c r="U4" s="2" t="inlineStr">
        <is>
          <t>NOT_VERIFIED</t>
        </is>
      </c>
    </row>
    <row r="5">
      <c r="A5" s="2" t="inlineStr">
        <is>
          <t>Kuwait</t>
        </is>
      </c>
      <c r="B5" s="2" t="inlineStr">
        <is>
          <t>KWT</t>
        </is>
      </c>
      <c r="C5" s="2" t="inlineStr"/>
      <c r="D5" s="2" t="inlineStr"/>
      <c r="E5" s="2" t="inlineStr"/>
      <c r="F5" s="2" t="inlineStr"/>
      <c r="G5" s="2" t="inlineStr"/>
      <c r="H5" s="2" t="n"/>
      <c r="I5" s="2" t="n">
        <v>2020</v>
      </c>
      <c r="J5" s="2" t="inlineStr"/>
      <c r="K5" s="2" t="n">
        <v>11</v>
      </c>
      <c r="L5" s="2" t="n">
        <v>2020</v>
      </c>
      <c r="M5" s="2" t="inlineStr"/>
      <c r="N5" s="2" t="inlineStr"/>
      <c r="O5" s="2" t="inlineStr"/>
      <c r="P5" s="2" t="inlineStr">
        <is>
          <t>OBSERVED</t>
        </is>
      </c>
      <c r="Q5" s="2" t="inlineStr">
        <is>
          <t>Very High</t>
        </is>
      </c>
      <c r="R5" s="2" t="inlineStr">
        <is>
          <t>SRC-WEB-027</t>
        </is>
      </c>
      <c r="S5" s="2" t="inlineStr">
        <is>
          <t>https://pmc.ncbi.nlm.nih.gov/articles/PMC8791361/</t>
        </is>
      </c>
      <c r="T5" s="2" t="inlineStr">
        <is>
          <t>2020 source reports 2,275 total dialysis population and 8 hospital-based + 3 satellite HD centers; exact national HD patient count is not stated.</t>
        </is>
      </c>
      <c r="U5" s="2" t="inlineStr">
        <is>
          <t>NOT_VERIFIED</t>
        </is>
      </c>
    </row>
    <row r="6">
      <c r="A6" s="2" t="inlineStr">
        <is>
          <t>Oman</t>
        </is>
      </c>
      <c r="B6" s="2" t="inlineStr">
        <is>
          <t>OMN</t>
        </is>
      </c>
      <c r="C6" s="2" t="inlineStr"/>
      <c r="D6" s="2" t="inlineStr"/>
      <c r="E6" s="2" t="n"/>
      <c r="F6" s="2" t="inlineStr"/>
      <c r="G6" s="2" t="inlineStr"/>
      <c r="H6" s="2" t="n"/>
      <c r="I6" s="2" t="inlineStr"/>
      <c r="J6" s="2" t="inlineStr"/>
      <c r="K6" s="2" t="n"/>
      <c r="L6" s="2" t="inlineStr"/>
      <c r="M6" s="2" t="inlineStr"/>
      <c r="N6" s="2" t="inlineStr"/>
      <c r="O6" s="2" t="inlineStr"/>
      <c r="P6" s="2" t="inlineStr">
        <is>
          <t>NEEDS_VERIFICATION</t>
        </is>
      </c>
      <c r="Q6" s="2" t="inlineStr">
        <is>
          <t>Low</t>
        </is>
      </c>
      <c r="R6" s="2" t="inlineStr">
        <is>
          <t>SRC-WEB-031</t>
        </is>
      </c>
      <c r="S6" s="2" t="inlineStr">
        <is>
          <t>https://pmc.ncbi.nlm.nih.gov/articles/PMC10686920/</t>
        </is>
      </c>
      <c r="T6" s="2" t="inlineStr">
        <is>
          <t>National HD study provides named facilities and sample distribution, not a current national HD census.</t>
        </is>
      </c>
      <c r="U6" s="2" t="inlineStr">
        <is>
          <t>NOT_VERIFIED</t>
        </is>
      </c>
    </row>
    <row r="7">
      <c r="A7" s="2" t="inlineStr">
        <is>
          <t>Bahrain</t>
        </is>
      </c>
      <c r="B7" s="2" t="inlineStr">
        <is>
          <t>BHR</t>
        </is>
      </c>
      <c r="C7" s="2" t="inlineStr"/>
      <c r="D7" s="2" t="inlineStr"/>
      <c r="E7" s="2" t="n"/>
      <c r="F7" s="2" t="inlineStr"/>
      <c r="G7" s="2" t="inlineStr"/>
      <c r="H7" s="2" t="n"/>
      <c r="I7" s="2" t="inlineStr"/>
      <c r="J7" s="2" t="inlineStr"/>
      <c r="K7" s="2" t="n"/>
      <c r="L7" s="2" t="inlineStr"/>
      <c r="M7" s="2" t="inlineStr"/>
      <c r="N7" s="2" t="inlineStr"/>
      <c r="O7" s="2" t="inlineStr"/>
      <c r="P7" s="2" t="inlineStr">
        <is>
          <t>NEEDS_VERIFICATION</t>
        </is>
      </c>
      <c r="Q7" s="2" t="inlineStr">
        <is>
          <t>Low</t>
        </is>
      </c>
      <c r="R7" s="2" t="inlineStr">
        <is>
          <t>SRC-WEB-037</t>
        </is>
      </c>
      <c r="S7" s="2" t="inlineStr">
        <is>
          <t>https://www.moh.gov.bh/Content/Upload/File/638728900890233427-Annual-Health-Statistic-2021-2022--Report_en.pdf</t>
        </is>
      </c>
      <c r="T7" s="2" t="inlineStr">
        <is>
          <t>MOH annual report confirms Abdulrahman Kanoo dialysis services but does not provide national current HD census in the retrieved excerpt.</t>
        </is>
      </c>
      <c r="U7" s="2" t="inlineStr">
        <is>
          <t>NOT_VERIFIED</t>
        </is>
      </c>
    </row>
    <row r="8">
      <c r="A8" s="2" t="inlineStr">
        <is>
          <t>Jordan</t>
        </is>
      </c>
      <c r="B8" s="2" t="inlineStr">
        <is>
          <t>JOR</t>
        </is>
      </c>
      <c r="C8" s="2" t="inlineStr"/>
      <c r="D8" s="2" t="inlineStr"/>
      <c r="E8" s="2" t="n"/>
      <c r="F8" s="2" t="inlineStr"/>
      <c r="G8" s="2" t="inlineStr"/>
      <c r="H8" s="2" t="n"/>
      <c r="I8" s="2" t="inlineStr"/>
      <c r="J8" s="2" t="inlineStr"/>
      <c r="K8" s="2" t="n"/>
      <c r="L8" s="2" t="inlineStr"/>
      <c r="M8" s="2" t="inlineStr"/>
      <c r="N8" s="2" t="inlineStr"/>
      <c r="O8" s="2" t="inlineStr"/>
      <c r="P8" s="2" t="inlineStr">
        <is>
          <t>NEEDS_VERIFICATION</t>
        </is>
      </c>
      <c r="Q8" s="2" t="inlineStr">
        <is>
          <t>Low</t>
        </is>
      </c>
      <c r="R8" s="2" t="inlineStr">
        <is>
          <t>SRC-WEB-040</t>
        </is>
      </c>
      <c r="S8" s="2" t="inlineStr">
        <is>
          <t>https://pmc.ncbi.nlm.nih.gov/articles/PMC11486397/</t>
        </is>
      </c>
      <c r="T8" s="2" t="inlineStr">
        <is>
          <t>2022 multicenter study confirms multiple government/university HD units; no national current census in source.</t>
        </is>
      </c>
      <c r="U8" s="2" t="inlineStr">
        <is>
          <t>NOT_VERIFIED</t>
        </is>
      </c>
    </row>
    <row r="9">
      <c r="A9" s="2" t="inlineStr">
        <is>
          <t>Lebanon</t>
        </is>
      </c>
      <c r="B9" s="2" t="inlineStr">
        <is>
          <t>LBN</t>
        </is>
      </c>
      <c r="C9" s="2" t="inlineStr"/>
      <c r="D9" s="2" t="inlineStr"/>
      <c r="E9" s="2" t="n"/>
      <c r="F9" s="2" t="inlineStr"/>
      <c r="G9" s="2" t="inlineStr"/>
      <c r="H9" s="2" t="n"/>
      <c r="I9" s="2" t="inlineStr"/>
      <c r="J9" s="2" t="inlineStr"/>
      <c r="K9" s="2" t="n">
        <v>60</v>
      </c>
      <c r="L9" s="2" t="n">
        <v>2015</v>
      </c>
      <c r="M9" s="2" t="inlineStr"/>
      <c r="N9" s="2" t="inlineStr"/>
      <c r="O9" s="2" t="inlineStr"/>
      <c r="P9" s="2" t="inlineStr">
        <is>
          <t>OBSERVED</t>
        </is>
      </c>
      <c r="Q9" s="2" t="inlineStr">
        <is>
          <t>Very High</t>
        </is>
      </c>
      <c r="R9" s="2" t="inlineStr">
        <is>
          <t>SRC-WEB-045</t>
        </is>
      </c>
      <c r="S9" s="2" t="inlineStr">
        <is>
          <t>https://pmc.ncbi.nlm.nih.gov/articles/PMC4707162/</t>
        </is>
      </c>
      <c r="T9" s="2" t="inlineStr">
        <is>
          <t>2015 study reported 60 HD centers; Lebanon's 2023 review states all HD is hospital-based.</t>
        </is>
      </c>
      <c r="U9" s="2" t="inlineStr">
        <is>
          <t>NOT_VERIFIED</t>
        </is>
      </c>
    </row>
    <row r="10">
      <c r="A10" s="2" t="inlineStr">
        <is>
          <t>Iraq</t>
        </is>
      </c>
      <c r="B10" s="2" t="inlineStr">
        <is>
          <t>IRQ</t>
        </is>
      </c>
      <c r="C10" s="2" t="inlineStr"/>
      <c r="D10" s="2" t="inlineStr"/>
      <c r="E10" s="2" t="n"/>
      <c r="F10" s="2" t="n"/>
      <c r="G10" s="2" t="inlineStr"/>
      <c r="H10" s="2" t="n">
        <v>10721</v>
      </c>
      <c r="I10" s="2" t="n">
        <v>2023</v>
      </c>
      <c r="J10" s="2" t="inlineStr"/>
      <c r="K10" s="2" t="n">
        <v>19</v>
      </c>
      <c r="L10" s="2" t="n">
        <v>2018</v>
      </c>
      <c r="M10" s="2" t="inlineStr"/>
      <c r="N10" s="2" t="inlineStr"/>
      <c r="O10" s="2" t="inlineStr"/>
      <c r="P10" s="2" t="inlineStr">
        <is>
          <t>OBSERVED</t>
        </is>
      </c>
      <c r="Q10" s="2" t="inlineStr">
        <is>
          <t>Very High</t>
        </is>
      </c>
      <c r="R10" s="2" t="inlineStr">
        <is>
          <t>SRC-WEB-050</t>
        </is>
      </c>
      <c r="S10" s="2" t="inlineStr">
        <is>
          <t>https://iqnjm.com/index.php/homepage/article/view/187</t>
        </is>
      </c>
      <c r="T10" s="2" t="inlineStr">
        <is>
          <t>2025 national study included 10,721 HD patients in 2023; 2018 MOH report cited 19 dialysis centers, with 11 in Baghdad.</t>
        </is>
      </c>
      <c r="U10" s="2" t="inlineStr">
        <is>
          <t>NOT_VERIFIED</t>
        </is>
      </c>
    </row>
  </sheetData>
  <autoFilter ref="A1:U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1" workbookViewId="0">
      <pane ySplit="1" topLeftCell="A2" activePane="bottomLeft" state="frozen"/>
      <selection pane="bottomLeft" activeCell="A1" sqref="A1"/>
      <selection pane="bottomLeft" activeCell="A1" sqref="A1"/>
    </sheetView>
  </sheetViews>
  <sheetFormatPr baseColWidth="8" defaultColWidth="9" defaultRowHeight="15"/>
  <cols>
    <col width="14" customWidth="1" min="1" max="1"/>
    <col width="33" customWidth="1" min="2" max="2"/>
    <col width="10" customWidth="1" min="3" max="3"/>
    <col width="10" customWidth="1" min="4" max="4"/>
    <col width="10" customWidth="1" min="5" max="5"/>
    <col width="31" customWidth="1" min="6" max="6"/>
    <col width="10" customWidth="1" min="7" max="7"/>
    <col width="31" customWidth="1" min="8" max="8"/>
    <col width="10" customWidth="1" min="9" max="9"/>
    <col width="20" customWidth="1" min="10" max="10"/>
    <col width="12" customWidth="1" min="11" max="11"/>
    <col width="11" customWidth="1" min="12" max="12"/>
    <col width="12" customWidth="1" min="13" max="13"/>
    <col width="45" customWidth="1" min="14" max="14"/>
  </cols>
  <sheetData>
    <row r="1" ht="30" customHeight="1">
      <c r="A1" s="8" t="inlineStr">
        <is>
          <t>Country</t>
        </is>
      </c>
      <c r="B1" s="8" t="inlineStr">
        <is>
          <t>Addressable_Catheter_Units_2026</t>
        </is>
      </c>
      <c r="C1" s="8" t="inlineStr">
        <is>
          <t>ASP_2026</t>
        </is>
      </c>
      <c r="D1" s="8" t="inlineStr">
        <is>
          <t>Currency</t>
        </is>
      </c>
      <c r="E1" s="8" t="inlineStr">
        <is>
          <t>TAM_2026</t>
        </is>
      </c>
      <c r="F1" s="8" t="inlineStr">
        <is>
          <t>Serviceable_Market_Percentage</t>
        </is>
      </c>
      <c r="G1" s="8" t="inlineStr">
        <is>
          <t>SAM_2026</t>
        </is>
      </c>
      <c r="H1" s="8" t="inlineStr">
        <is>
          <t>Achievable_Capture_Percentage</t>
        </is>
      </c>
      <c r="I1" s="8" t="inlineStr">
        <is>
          <t>SOM_2026</t>
        </is>
      </c>
      <c r="J1" s="8" t="inlineStr">
        <is>
          <t>Evidence_Level</t>
        </is>
      </c>
      <c r="K1" s="8" t="inlineStr">
        <is>
          <t>Confidence</t>
        </is>
      </c>
      <c r="L1" s="8" t="inlineStr">
        <is>
          <t>Source_ID</t>
        </is>
      </c>
      <c r="M1" s="8" t="inlineStr">
        <is>
          <t>Source_URL</t>
        </is>
      </c>
      <c r="N1" s="8" t="inlineStr">
        <is>
          <t>Evidence_Note</t>
        </is>
      </c>
    </row>
    <row r="2">
      <c r="A2" s="2" t="inlineStr">
        <is>
          <t>Saudi Arabia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>
        <is>
          <t>NEEDS_VERIFICATION</t>
        </is>
      </c>
      <c r="K2" s="2" t="inlineStr">
        <is>
          <t>Low</t>
        </is>
      </c>
      <c r="L2" s="2" t="inlineStr"/>
      <c r="M2" s="2" t="inlineStr"/>
      <c r="N2" s="2" t="inlineStr">
        <is>
          <t>No reliable country-specific 2026 catheter ASP or supported addressable-unit base was verified; TAM/SAM/SOM intentionally left blank.</t>
        </is>
      </c>
    </row>
    <row r="3">
      <c r="A3" s="2" t="inlineStr">
        <is>
          <t>UAE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>
        <is>
          <t>NEEDS_VERIFICATION</t>
        </is>
      </c>
      <c r="K3" s="2" t="inlineStr">
        <is>
          <t>Low</t>
        </is>
      </c>
      <c r="L3" s="2" t="inlineStr"/>
      <c r="M3" s="2" t="inlineStr"/>
      <c r="N3" s="2" t="inlineStr">
        <is>
          <t>No reliable country-specific 2026 catheter ASP or supported addressable-unit base was verified; TAM/SAM/SOM intentionally left blank.</t>
        </is>
      </c>
    </row>
    <row r="4">
      <c r="A4" s="2" t="inlineStr">
        <is>
          <t>Qatar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>
        <is>
          <t>NEEDS_VERIFICATION</t>
        </is>
      </c>
      <c r="K4" s="2" t="inlineStr">
        <is>
          <t>Low</t>
        </is>
      </c>
      <c r="L4" s="2" t="inlineStr"/>
      <c r="M4" s="2" t="inlineStr"/>
      <c r="N4" s="2" t="inlineStr">
        <is>
          <t>No reliable country-specific 2026 catheter ASP or supported addressable-unit base was verified; TAM/SAM/SOM intentionally left blank.</t>
        </is>
      </c>
    </row>
    <row r="5">
      <c r="A5" s="2" t="inlineStr">
        <is>
          <t>Kuwait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>
        <is>
          <t>NEEDS_VERIFICATION</t>
        </is>
      </c>
      <c r="K5" s="2" t="inlineStr">
        <is>
          <t>Low</t>
        </is>
      </c>
      <c r="L5" s="2" t="inlineStr"/>
      <c r="M5" s="2" t="inlineStr"/>
      <c r="N5" s="2" t="inlineStr">
        <is>
          <t>No reliable country-specific 2026 catheter ASP or supported addressable-unit base was verified; TAM/SAM/SOM intentionally left blank.</t>
        </is>
      </c>
    </row>
    <row r="6">
      <c r="A6" s="2" t="inlineStr">
        <is>
          <t>Oman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>
        <is>
          <t>NEEDS_VERIFICATION</t>
        </is>
      </c>
      <c r="K6" s="2" t="inlineStr">
        <is>
          <t>Low</t>
        </is>
      </c>
      <c r="L6" s="2" t="inlineStr"/>
      <c r="M6" s="2" t="inlineStr"/>
      <c r="N6" s="2" t="inlineStr">
        <is>
          <t>No reliable country-specific 2026 catheter ASP or supported addressable-unit base was verified; TAM/SAM/SOM intentionally left blank.</t>
        </is>
      </c>
    </row>
    <row r="7">
      <c r="A7" s="2" t="inlineStr">
        <is>
          <t>Bahrain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>
        <is>
          <t>NEEDS_VERIFICATION</t>
        </is>
      </c>
      <c r="K7" s="2" t="inlineStr">
        <is>
          <t>Low</t>
        </is>
      </c>
      <c r="L7" s="2" t="inlineStr"/>
      <c r="M7" s="2" t="inlineStr"/>
      <c r="N7" s="2" t="inlineStr">
        <is>
          <t>No reliable country-specific 2026 catheter ASP or supported addressable-unit base was verified; TAM/SAM/SOM intentionally left blank.</t>
        </is>
      </c>
    </row>
    <row r="8">
      <c r="A8" s="2" t="inlineStr">
        <is>
          <t>Jordan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>
        <is>
          <t>NEEDS_VERIFICATION</t>
        </is>
      </c>
      <c r="K8" s="2" t="inlineStr">
        <is>
          <t>Low</t>
        </is>
      </c>
      <c r="L8" s="2" t="inlineStr"/>
      <c r="M8" s="2" t="inlineStr"/>
      <c r="N8" s="2" t="inlineStr">
        <is>
          <t>No reliable country-specific 2026 catheter ASP or supported addressable-unit base was verified; TAM/SAM/SOM intentionally left blank.</t>
        </is>
      </c>
    </row>
    <row r="9">
      <c r="A9" s="2" t="inlineStr">
        <is>
          <t>Lebanon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>
        <is>
          <t>NEEDS_VERIFICATION</t>
        </is>
      </c>
      <c r="K9" s="2" t="inlineStr">
        <is>
          <t>Low</t>
        </is>
      </c>
      <c r="L9" s="2" t="inlineStr"/>
      <c r="M9" s="2" t="inlineStr"/>
      <c r="N9" s="2" t="inlineStr">
        <is>
          <t>No reliable country-specific 2026 catheter ASP or supported addressable-unit base was verified; TAM/SAM/SOM intentionally left blank.</t>
        </is>
      </c>
    </row>
    <row r="10">
      <c r="A10" s="2" t="inlineStr">
        <is>
          <t>Iraq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>
        <is>
          <t>NEEDS_VERIFICATION</t>
        </is>
      </c>
      <c r="K10" s="2" t="inlineStr">
        <is>
          <t>Low</t>
        </is>
      </c>
      <c r="L10" s="2" t="inlineStr"/>
      <c r="M10" s="2" t="inlineStr"/>
      <c r="N10" s="2" t="inlineStr">
        <is>
          <t>No reliable country-specific 2026 catheter ASP or supported addressable-unit base was verified; TAM/SAM/SOM intentionally left blank.</t>
        </is>
      </c>
    </row>
  </sheetData>
  <autoFilter ref="A1:N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1" workbookViewId="0">
      <pane ySplit="1" topLeftCell="A2" activePane="bottomLeft" state="frozen"/>
      <selection pane="bottomLeft" activeCell="A1" sqref="A1"/>
      <selection pane="bottomLeft" activeCell="A1" sqref="A1"/>
    </sheetView>
  </sheetViews>
  <sheetFormatPr baseColWidth="8" defaultColWidth="9" defaultRowHeight="15"/>
  <cols>
    <col width="14" customWidth="1" min="1" max="1"/>
    <col width="10" customWidth="1" min="2" max="2"/>
    <col width="14" customWidth="1" min="3" max="4"/>
    <col width="32" customWidth="1" min="4" max="4"/>
    <col width="24" customWidth="1" min="5" max="5"/>
    <col width="27" customWidth="1" min="6" max="6"/>
    <col width="23" customWidth="1" min="7" max="7"/>
    <col width="23" customWidth="1" min="8" max="8"/>
    <col width="20" customWidth="1" min="9" max="9"/>
    <col width="28" customWidth="1" min="10" max="10"/>
    <col width="17" customWidth="1" min="11" max="11"/>
    <col width="20" customWidth="1" min="12" max="12"/>
    <col width="23" customWidth="1" min="13" max="13"/>
    <col width="16" customWidth="1" min="14" max="14"/>
    <col width="19" customWidth="1" min="15" max="15"/>
    <col width="20" customWidth="1" min="16" max="16"/>
    <col width="12" customWidth="1" min="17" max="17"/>
    <col width="45" customWidth="1" min="18" max="18"/>
    <col width="11" customWidth="1" min="19" max="19"/>
    <col width="12" customWidth="1" min="20" max="20"/>
  </cols>
  <sheetData>
    <row r="1" ht="30" customHeight="1">
      <c r="A1" s="8" t="inlineStr">
        <is>
          <t>Country</t>
        </is>
      </c>
      <c r="B1" s="8" t="inlineStr">
        <is>
          <t>Scenario</t>
        </is>
      </c>
      <c r="C1" s="8" t="inlineStr">
        <is>
          <t>2026_HD_Base</t>
        </is>
      </c>
      <c r="D1" s="8" t="inlineStr">
        <is>
          <t>Existing_Catheter_Dependent_HD</t>
        </is>
      </c>
      <c r="E1" s="8" t="inlineStr">
        <is>
          <t>New_HD_Starts_Catheter</t>
        </is>
      </c>
      <c r="F1" s="8" t="inlineStr">
        <is>
          <t>AVF_AVG_Failures_Catheter</t>
        </is>
      </c>
      <c r="G1" s="8" t="inlineStr">
        <is>
          <t>Tunneled_Replacements</t>
        </is>
      </c>
      <c r="H1" s="8" t="inlineStr">
        <is>
          <t>NonTunneled_Temporary</t>
        </is>
      </c>
      <c r="I1" s="8" t="inlineStr">
        <is>
          <t>Acute_AKI_Catheter</t>
        </is>
      </c>
      <c r="J1" s="8" t="inlineStr">
        <is>
          <t>Other_Catheter_Utilization</t>
        </is>
      </c>
      <c r="K1" s="8" t="inlineStr">
        <is>
          <t>Tunneled_Demand</t>
        </is>
      </c>
      <c r="L1" s="8" t="inlineStr">
        <is>
          <t>NonTunneled_Demand</t>
        </is>
      </c>
      <c r="M1" s="8" t="inlineStr">
        <is>
          <t>Total_Catheter_Demand</t>
        </is>
      </c>
      <c r="N1" s="8" t="inlineStr">
        <is>
          <t>Tunneled_Share</t>
        </is>
      </c>
      <c r="O1" s="8" t="inlineStr">
        <is>
          <t>NonTunneled_Share</t>
        </is>
      </c>
      <c r="P1" s="8" t="inlineStr">
        <is>
          <t>Evidence_Level</t>
        </is>
      </c>
      <c r="Q1" s="8" t="inlineStr">
        <is>
          <t>Confidence</t>
        </is>
      </c>
      <c r="R1" s="8" t="inlineStr">
        <is>
          <t>Assumption_Note</t>
        </is>
      </c>
      <c r="S1" s="8" t="inlineStr">
        <is>
          <t>Source_ID</t>
        </is>
      </c>
      <c r="T1" s="8" t="inlineStr">
        <is>
          <t>Source_URL</t>
        </is>
      </c>
    </row>
    <row r="2">
      <c r="A2" s="2" t="inlineStr">
        <is>
          <t>Saudi Arabia</t>
        </is>
      </c>
      <c r="B2" s="2" t="inlineStr">
        <is>
          <t>LOW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>
        <is>
          <t>NEEDS_VERIFICATION</t>
        </is>
      </c>
      <c r="Q2" s="2" t="inlineStr">
        <is>
          <t>Low</t>
        </is>
      </c>
      <c r="R2" s="2" t="inlineStr">
        <is>
          <t>2026 country-specific catheter prevalence, incident HD starts, access failure rates and replacement rates were not verified. No scenario demand is fabricated.</t>
        </is>
      </c>
      <c r="S2" s="2" t="inlineStr"/>
      <c r="T2" s="2" t="inlineStr"/>
    </row>
    <row r="3">
      <c r="A3" s="2" t="inlineStr">
        <is>
          <t>Saudi Arabia</t>
        </is>
      </c>
      <c r="B3" s="2" t="inlineStr">
        <is>
          <t>BASE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>
        <is>
          <t>NEEDS_VERIFICATION</t>
        </is>
      </c>
      <c r="Q3" s="2" t="inlineStr">
        <is>
          <t>Low</t>
        </is>
      </c>
      <c r="R3" s="2" t="inlineStr">
        <is>
          <t>2026 country-specific catheter prevalence, incident HD starts, access failure rates and replacement rates were not verified. No scenario demand is fabricated.</t>
        </is>
      </c>
      <c r="S3" s="2" t="inlineStr"/>
      <c r="T3" s="2" t="inlineStr"/>
    </row>
    <row r="4">
      <c r="A4" s="2" t="inlineStr">
        <is>
          <t>Saudi Arabia</t>
        </is>
      </c>
      <c r="B4" s="2" t="inlineStr">
        <is>
          <t>HIGH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>
        <is>
          <t>NEEDS_VERIFICATION</t>
        </is>
      </c>
      <c r="Q4" s="2" t="inlineStr">
        <is>
          <t>Low</t>
        </is>
      </c>
      <c r="R4" s="2" t="inlineStr">
        <is>
          <t>2026 country-specific catheter prevalence, incident HD starts, access failure rates and replacement rates were not verified. No scenario demand is fabricated.</t>
        </is>
      </c>
      <c r="S4" s="2" t="inlineStr"/>
      <c r="T4" s="2" t="inlineStr"/>
    </row>
    <row r="5">
      <c r="A5" s="2" t="inlineStr">
        <is>
          <t>UAE</t>
        </is>
      </c>
      <c r="B5" s="2" t="inlineStr">
        <is>
          <t>LOW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>
        <is>
          <t>NEEDS_VERIFICATION</t>
        </is>
      </c>
      <c r="Q5" s="2" t="inlineStr">
        <is>
          <t>Low</t>
        </is>
      </c>
      <c r="R5" s="2" t="inlineStr">
        <is>
          <t>2026 country-specific catheter prevalence, incident HD starts, access failure rates and replacement rates were not verified. No scenario demand is fabricated.</t>
        </is>
      </c>
      <c r="S5" s="2" t="inlineStr"/>
      <c r="T5" s="2" t="inlineStr"/>
    </row>
    <row r="6">
      <c r="A6" s="2" t="inlineStr">
        <is>
          <t>UAE</t>
        </is>
      </c>
      <c r="B6" s="2" t="inlineStr">
        <is>
          <t>BASE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>
        <is>
          <t>NEEDS_VERIFICATION</t>
        </is>
      </c>
      <c r="Q6" s="2" t="inlineStr">
        <is>
          <t>Low</t>
        </is>
      </c>
      <c r="R6" s="2" t="inlineStr">
        <is>
          <t>2026 country-specific catheter prevalence, incident HD starts, access failure rates and replacement rates were not verified. No scenario demand is fabricated.</t>
        </is>
      </c>
      <c r="S6" s="2" t="inlineStr"/>
      <c r="T6" s="2" t="inlineStr"/>
    </row>
    <row r="7">
      <c r="A7" s="2" t="inlineStr">
        <is>
          <t>UAE</t>
        </is>
      </c>
      <c r="B7" s="2" t="inlineStr">
        <is>
          <t>HIGH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>
        <is>
          <t>NEEDS_VERIFICATION</t>
        </is>
      </c>
      <c r="Q7" s="2" t="inlineStr">
        <is>
          <t>Low</t>
        </is>
      </c>
      <c r="R7" s="2" t="inlineStr">
        <is>
          <t>2026 country-specific catheter prevalence, incident HD starts, access failure rates and replacement rates were not verified. No scenario demand is fabricated.</t>
        </is>
      </c>
      <c r="S7" s="2" t="inlineStr"/>
      <c r="T7" s="2" t="inlineStr"/>
    </row>
    <row r="8">
      <c r="A8" s="2" t="inlineStr">
        <is>
          <t>Qatar</t>
        </is>
      </c>
      <c r="B8" s="2" t="inlineStr">
        <is>
          <t>LOW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>
        <is>
          <t>NEEDS_VERIFICATION</t>
        </is>
      </c>
      <c r="Q8" s="2" t="inlineStr">
        <is>
          <t>Low</t>
        </is>
      </c>
      <c r="R8" s="2" t="inlineStr">
        <is>
          <t>2026 country-specific catheter prevalence, incident HD starts, access failure rates and replacement rates were not verified. No scenario demand is fabricated.</t>
        </is>
      </c>
      <c r="S8" s="2" t="inlineStr"/>
      <c r="T8" s="2" t="inlineStr"/>
    </row>
    <row r="9">
      <c r="A9" s="2" t="inlineStr">
        <is>
          <t>Qatar</t>
        </is>
      </c>
      <c r="B9" s="2" t="inlineStr">
        <is>
          <t>BASE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>
        <is>
          <t>NEEDS_VERIFICATION</t>
        </is>
      </c>
      <c r="Q9" s="2" t="inlineStr">
        <is>
          <t>Low</t>
        </is>
      </c>
      <c r="R9" s="2" t="inlineStr">
        <is>
          <t>2026 country-specific catheter prevalence, incident HD starts, access failure rates and replacement rates were not verified. No scenario demand is fabricated.</t>
        </is>
      </c>
      <c r="S9" s="2" t="inlineStr"/>
      <c r="T9" s="2" t="inlineStr"/>
    </row>
    <row r="10">
      <c r="A10" s="2" t="inlineStr">
        <is>
          <t>Qatar</t>
        </is>
      </c>
      <c r="B10" s="2" t="inlineStr">
        <is>
          <t>HIGH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>
        <is>
          <t>NEEDS_VERIFICATION</t>
        </is>
      </c>
      <c r="Q10" s="2" t="inlineStr">
        <is>
          <t>Low</t>
        </is>
      </c>
      <c r="R10" s="2" t="inlineStr">
        <is>
          <t>2026 country-specific catheter prevalence, incident HD starts, access failure rates and replacement rates were not verified. No scenario demand is fabricated.</t>
        </is>
      </c>
      <c r="S10" s="2" t="inlineStr"/>
      <c r="T10" s="2" t="inlineStr"/>
    </row>
    <row r="11">
      <c r="A11" s="2" t="inlineStr">
        <is>
          <t>Kuwait</t>
        </is>
      </c>
      <c r="B11" s="2" t="inlineStr">
        <is>
          <t>LOW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>
        <is>
          <t>NEEDS_VERIFICATION</t>
        </is>
      </c>
      <c r="Q11" s="2" t="inlineStr">
        <is>
          <t>Low</t>
        </is>
      </c>
      <c r="R11" s="2" t="inlineStr">
        <is>
          <t>2026 country-specific catheter prevalence, incident HD starts, access failure rates and replacement rates were not verified. No scenario demand is fabricated.</t>
        </is>
      </c>
      <c r="S11" s="2" t="inlineStr"/>
      <c r="T11" s="2" t="inlineStr"/>
    </row>
    <row r="12">
      <c r="A12" s="2" t="inlineStr">
        <is>
          <t>Kuwait</t>
        </is>
      </c>
      <c r="B12" s="2" t="inlineStr">
        <is>
          <t>BASE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>
        <is>
          <t>NEEDS_VERIFICATION</t>
        </is>
      </c>
      <c r="Q12" s="2" t="inlineStr">
        <is>
          <t>Low</t>
        </is>
      </c>
      <c r="R12" s="2" t="inlineStr">
        <is>
          <t>2026 country-specific catheter prevalence, incident HD starts, access failure rates and replacement rates were not verified. No scenario demand is fabricated.</t>
        </is>
      </c>
      <c r="S12" s="2" t="inlineStr"/>
      <c r="T12" s="2" t="inlineStr"/>
    </row>
    <row r="13">
      <c r="A13" s="2" t="inlineStr">
        <is>
          <t>Kuwait</t>
        </is>
      </c>
      <c r="B13" s="2" t="inlineStr">
        <is>
          <t>HIGH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>
        <is>
          <t>NEEDS_VERIFICATION</t>
        </is>
      </c>
      <c r="Q13" s="2" t="inlineStr">
        <is>
          <t>Low</t>
        </is>
      </c>
      <c r="R13" s="2" t="inlineStr">
        <is>
          <t>2026 country-specific catheter prevalence, incident HD starts, access failure rates and replacement rates were not verified. No scenario demand is fabricated.</t>
        </is>
      </c>
      <c r="S13" s="2" t="inlineStr"/>
      <c r="T13" s="2" t="inlineStr"/>
    </row>
    <row r="14">
      <c r="A14" s="2" t="inlineStr">
        <is>
          <t>Oman</t>
        </is>
      </c>
      <c r="B14" s="2" t="inlineStr">
        <is>
          <t>LOW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>
        <is>
          <t>NEEDS_VERIFICATION</t>
        </is>
      </c>
      <c r="Q14" s="2" t="inlineStr">
        <is>
          <t>Low</t>
        </is>
      </c>
      <c r="R14" s="2" t="inlineStr">
        <is>
          <t>2026 country-specific catheter prevalence, incident HD starts, access failure rates and replacement rates were not verified. No scenario demand is fabricated.</t>
        </is>
      </c>
      <c r="S14" s="2" t="inlineStr"/>
      <c r="T14" s="2" t="inlineStr"/>
    </row>
    <row r="15">
      <c r="A15" s="2" t="inlineStr">
        <is>
          <t>Oman</t>
        </is>
      </c>
      <c r="B15" s="2" t="inlineStr">
        <is>
          <t>BASE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>
        <is>
          <t>NEEDS_VERIFICATION</t>
        </is>
      </c>
      <c r="Q15" s="2" t="inlineStr">
        <is>
          <t>Low</t>
        </is>
      </c>
      <c r="R15" s="2" t="inlineStr">
        <is>
          <t>2026 country-specific catheter prevalence, incident HD starts, access failure rates and replacement rates were not verified. No scenario demand is fabricated.</t>
        </is>
      </c>
      <c r="S15" s="2" t="inlineStr"/>
      <c r="T15" s="2" t="inlineStr"/>
    </row>
    <row r="16">
      <c r="A16" s="2" t="inlineStr">
        <is>
          <t>Oman</t>
        </is>
      </c>
      <c r="B16" s="2" t="inlineStr">
        <is>
          <t>HIGH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>
        <is>
          <t>NEEDS_VERIFICATION</t>
        </is>
      </c>
      <c r="Q16" s="2" t="inlineStr">
        <is>
          <t>Low</t>
        </is>
      </c>
      <c r="R16" s="2" t="inlineStr">
        <is>
          <t>2026 country-specific catheter prevalence, incident HD starts, access failure rates and replacement rates were not verified. No scenario demand is fabricated.</t>
        </is>
      </c>
      <c r="S16" s="2" t="inlineStr"/>
      <c r="T16" s="2" t="inlineStr"/>
    </row>
    <row r="17">
      <c r="A17" s="2" t="inlineStr">
        <is>
          <t>Bahrain</t>
        </is>
      </c>
      <c r="B17" s="2" t="inlineStr">
        <is>
          <t>LOW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>
        <is>
          <t>NEEDS_VERIFICATION</t>
        </is>
      </c>
      <c r="Q17" s="2" t="inlineStr">
        <is>
          <t>Low</t>
        </is>
      </c>
      <c r="R17" s="2" t="inlineStr">
        <is>
          <t>2026 country-specific catheter prevalence, incident HD starts, access failure rates and replacement rates were not verified. No scenario demand is fabricated.</t>
        </is>
      </c>
      <c r="S17" s="2" t="inlineStr"/>
      <c r="T17" s="2" t="inlineStr"/>
    </row>
    <row r="18">
      <c r="A18" s="2" t="inlineStr">
        <is>
          <t>Bahrain</t>
        </is>
      </c>
      <c r="B18" s="2" t="inlineStr">
        <is>
          <t>BASE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>
        <is>
          <t>NEEDS_VERIFICATION</t>
        </is>
      </c>
      <c r="Q18" s="2" t="inlineStr">
        <is>
          <t>Low</t>
        </is>
      </c>
      <c r="R18" s="2" t="inlineStr">
        <is>
          <t>2026 country-specific catheter prevalence, incident HD starts, access failure rates and replacement rates were not verified. No scenario demand is fabricated.</t>
        </is>
      </c>
      <c r="S18" s="2" t="inlineStr"/>
      <c r="T18" s="2" t="inlineStr"/>
    </row>
    <row r="19">
      <c r="A19" s="2" t="inlineStr">
        <is>
          <t>Bahrain</t>
        </is>
      </c>
      <c r="B19" s="2" t="inlineStr">
        <is>
          <t>HIGH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>
        <is>
          <t>NEEDS_VERIFICATION</t>
        </is>
      </c>
      <c r="Q19" s="2" t="inlineStr">
        <is>
          <t>Low</t>
        </is>
      </c>
      <c r="R19" s="2" t="inlineStr">
        <is>
          <t>2026 country-specific catheter prevalence, incident HD starts, access failure rates and replacement rates were not verified. No scenario demand is fabricated.</t>
        </is>
      </c>
      <c r="S19" s="2" t="inlineStr"/>
      <c r="T19" s="2" t="inlineStr"/>
    </row>
    <row r="20">
      <c r="A20" s="2" t="inlineStr">
        <is>
          <t>Jordan</t>
        </is>
      </c>
      <c r="B20" s="2" t="inlineStr">
        <is>
          <t>LOW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>
        <is>
          <t>NEEDS_VERIFICATION</t>
        </is>
      </c>
      <c r="Q20" s="2" t="inlineStr">
        <is>
          <t>Low</t>
        </is>
      </c>
      <c r="R20" s="2" t="inlineStr">
        <is>
          <t>2026 country-specific catheter prevalence, incident HD starts, access failure rates and replacement rates were not verified. No scenario demand is fabricated.</t>
        </is>
      </c>
      <c r="S20" s="2" t="inlineStr"/>
      <c r="T20" s="2" t="inlineStr"/>
    </row>
    <row r="21">
      <c r="A21" s="2" t="inlineStr">
        <is>
          <t>Jordan</t>
        </is>
      </c>
      <c r="B21" s="2" t="inlineStr">
        <is>
          <t>BASE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>
        <is>
          <t>NEEDS_VERIFICATION</t>
        </is>
      </c>
      <c r="Q21" s="2" t="inlineStr">
        <is>
          <t>Low</t>
        </is>
      </c>
      <c r="R21" s="2" t="inlineStr">
        <is>
          <t>2026 country-specific catheter prevalence, incident HD starts, access failure rates and replacement rates were not verified. No scenario demand is fabricated.</t>
        </is>
      </c>
      <c r="S21" s="2" t="inlineStr"/>
      <c r="T21" s="2" t="inlineStr"/>
    </row>
    <row r="22">
      <c r="A22" s="2" t="inlineStr">
        <is>
          <t>Jordan</t>
        </is>
      </c>
      <c r="B22" s="2" t="inlineStr">
        <is>
          <t>HIGH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>
        <is>
          <t>NEEDS_VERIFICATION</t>
        </is>
      </c>
      <c r="Q22" s="2" t="inlineStr">
        <is>
          <t>Low</t>
        </is>
      </c>
      <c r="R22" s="2" t="inlineStr">
        <is>
          <t>2026 country-specific catheter prevalence, incident HD starts, access failure rates and replacement rates were not verified. No scenario demand is fabricated.</t>
        </is>
      </c>
      <c r="S22" s="2" t="inlineStr"/>
      <c r="T22" s="2" t="inlineStr"/>
    </row>
    <row r="23">
      <c r="A23" s="2" t="inlineStr">
        <is>
          <t>Lebanon</t>
        </is>
      </c>
      <c r="B23" s="2" t="inlineStr">
        <is>
          <t>LOW</t>
        </is>
      </c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>
        <is>
          <t>NEEDS_VERIFICATION</t>
        </is>
      </c>
      <c r="Q23" s="2" t="inlineStr">
        <is>
          <t>Low</t>
        </is>
      </c>
      <c r="R23" s="2" t="inlineStr">
        <is>
          <t>2026 country-specific catheter prevalence, incident HD starts, access failure rates and replacement rates were not verified. No scenario demand is fabricated.</t>
        </is>
      </c>
      <c r="S23" s="2" t="inlineStr"/>
      <c r="T23" s="2" t="inlineStr"/>
    </row>
    <row r="24">
      <c r="A24" s="2" t="inlineStr">
        <is>
          <t>Lebanon</t>
        </is>
      </c>
      <c r="B24" s="2" t="inlineStr">
        <is>
          <t>BASE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>
        <is>
          <t>NEEDS_VERIFICATION</t>
        </is>
      </c>
      <c r="Q24" s="2" t="inlineStr">
        <is>
          <t>Low</t>
        </is>
      </c>
      <c r="R24" s="2" t="inlineStr">
        <is>
          <t>2026 country-specific catheter prevalence, incident HD starts, access failure rates and replacement rates were not verified. No scenario demand is fabricated.</t>
        </is>
      </c>
      <c r="S24" s="2" t="inlineStr"/>
      <c r="T24" s="2" t="inlineStr"/>
    </row>
    <row r="25">
      <c r="A25" s="2" t="inlineStr">
        <is>
          <t>Lebanon</t>
        </is>
      </c>
      <c r="B25" s="2" t="inlineStr">
        <is>
          <t>HIGH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>
        <is>
          <t>NEEDS_VERIFICATION</t>
        </is>
      </c>
      <c r="Q25" s="2" t="inlineStr">
        <is>
          <t>Low</t>
        </is>
      </c>
      <c r="R25" s="2" t="inlineStr">
        <is>
          <t>2026 country-specific catheter prevalence, incident HD starts, access failure rates and replacement rates were not verified. No scenario demand is fabricated.</t>
        </is>
      </c>
      <c r="S25" s="2" t="inlineStr"/>
      <c r="T25" s="2" t="inlineStr"/>
    </row>
    <row r="26">
      <c r="A26" s="2" t="inlineStr">
        <is>
          <t>Iraq</t>
        </is>
      </c>
      <c r="B26" s="2" t="inlineStr">
        <is>
          <t>LOW</t>
        </is>
      </c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>
        <is>
          <t>NEEDS_VERIFICATION</t>
        </is>
      </c>
      <c r="Q26" s="2" t="inlineStr">
        <is>
          <t>Low</t>
        </is>
      </c>
      <c r="R26" s="2" t="inlineStr">
        <is>
          <t>2026 country-specific catheter prevalence, incident HD starts, access failure rates and replacement rates were not verified. No scenario demand is fabricated.</t>
        </is>
      </c>
      <c r="S26" s="2" t="inlineStr"/>
      <c r="T26" s="2" t="inlineStr"/>
    </row>
    <row r="27">
      <c r="A27" s="2" t="inlineStr">
        <is>
          <t>Iraq</t>
        </is>
      </c>
      <c r="B27" s="2" t="inlineStr">
        <is>
          <t>BASE</t>
        </is>
      </c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>
        <is>
          <t>NEEDS_VERIFICATION</t>
        </is>
      </c>
      <c r="Q27" s="2" t="inlineStr">
        <is>
          <t>Low</t>
        </is>
      </c>
      <c r="R27" s="2" t="inlineStr">
        <is>
          <t>2026 country-specific catheter prevalence, incident HD starts, access failure rates and replacement rates were not verified. No scenario demand is fabricated.</t>
        </is>
      </c>
      <c r="S27" s="2" t="inlineStr"/>
      <c r="T27" s="2" t="inlineStr"/>
    </row>
    <row r="28">
      <c r="A28" s="2" t="inlineStr">
        <is>
          <t>Iraq</t>
        </is>
      </c>
      <c r="B28" s="2" t="inlineStr">
        <is>
          <t>HIGH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>
        <is>
          <t>NEEDS_VERIFICATION</t>
        </is>
      </c>
      <c r="Q28" s="2" t="inlineStr">
        <is>
          <t>Low</t>
        </is>
      </c>
      <c r="R28" s="2" t="inlineStr">
        <is>
          <t>2026 country-specific catheter prevalence, incident HD starts, access failure rates and replacement rates were not verified. No scenario demand is fabricated.</t>
        </is>
      </c>
      <c r="S28" s="2" t="inlineStr"/>
      <c r="T28" s="2" t="inlineStr"/>
    </row>
  </sheetData>
  <autoFilter ref="A1:T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showGridLines="1" workbookViewId="0">
      <pane ySplit="1" topLeftCell="A2" activePane="bottomLeft" state="frozen"/>
      <selection pane="bottomLeft" activeCell="A1" sqref="A1"/>
      <selection pane="bottomLeft" activeCell="B14" sqref="B14"/>
    </sheetView>
  </sheetViews>
  <sheetFormatPr baseColWidth="8" defaultColWidth="9" defaultRowHeight="15"/>
  <cols>
    <col width="10" customWidth="1" min="1" max="1"/>
    <col width="24" customWidth="1" min="2" max="2"/>
    <col width="45" customWidth="1" min="3" max="3"/>
    <col width="13" customWidth="1" min="4" max="5"/>
    <col width="36" customWidth="1" min="5" max="5"/>
    <col width="24" customWidth="1" min="6" max="6"/>
    <col width="45" customWidth="1" min="7" max="7"/>
    <col width="20" customWidth="1" min="8" max="8"/>
    <col width="27" customWidth="1" min="9" max="9"/>
    <col width="45" customWidth="1" min="10" max="10"/>
    <col width="16" customWidth="1" min="11" max="11"/>
    <col width="45" customWidth="1" min="12" max="12"/>
    <col width="13" customWidth="1" min="13" max="13"/>
  </cols>
  <sheetData>
    <row r="1">
      <c r="A1" s="8" t="inlineStr">
        <is>
          <t>Country</t>
        </is>
      </c>
      <c r="B1" s="8" t="inlineStr">
        <is>
          <t>KOL_Name</t>
        </is>
      </c>
      <c r="C1" s="8" t="inlineStr">
        <is>
          <t>Institution</t>
        </is>
      </c>
      <c r="D1" s="8" t="inlineStr">
        <is>
          <t>City</t>
        </is>
      </c>
      <c r="E1" s="8" t="inlineStr">
        <is>
          <t>Specialty</t>
        </is>
      </c>
      <c r="F1" s="8" t="inlineStr">
        <is>
          <t>Current_Position</t>
        </is>
      </c>
      <c r="G1" s="8" t="inlineStr">
        <is>
          <t>Role_Influence</t>
        </is>
      </c>
      <c r="H1" s="8" t="inlineStr">
        <is>
          <t>Catheter_Relevance</t>
        </is>
      </c>
      <c r="I1" s="8" t="inlineStr">
        <is>
          <t>Vascular_Access_Relevance</t>
        </is>
      </c>
      <c r="J1" s="8" t="inlineStr">
        <is>
          <t>Evidence_URL</t>
        </is>
      </c>
      <c r="K1" s="8" t="inlineStr">
        <is>
          <t>Evidence_Level</t>
        </is>
      </c>
      <c r="L1" s="8" t="inlineStr">
        <is>
          <t>Verification_Status</t>
        </is>
      </c>
      <c r="M1" s="8" t="inlineStr">
        <is>
          <t>Source_ID</t>
        </is>
      </c>
    </row>
    <row r="2" ht="15.75" customHeight="1">
      <c r="A2" s="2" t="inlineStr">
        <is>
          <t>UAE</t>
        </is>
      </c>
      <c r="B2" s="2" t="inlineStr">
        <is>
          <t>Chandra Mauli Jha</t>
        </is>
      </c>
      <c r="C2" s="2" t="inlineStr">
        <is>
          <t>Al Mazroui Medical Center / Nephro Care Home Hemodialysis</t>
        </is>
      </c>
      <c r="D2" s="2" t="inlineStr">
        <is>
          <t>Abu Dhabi</t>
        </is>
      </c>
      <c r="E2" s="2" t="inlineStr">
        <is>
          <t>Nephrology &amp; Dialysis</t>
        </is>
      </c>
      <c r="F2" s="2" t="inlineStr"/>
      <c r="G2" s="2" t="inlineStr">
        <is>
          <t>HD clinical leadership evidence</t>
        </is>
      </c>
      <c r="H2" s="2" t="inlineStr">
        <is>
          <t>High</t>
        </is>
      </c>
      <c r="I2" s="2" t="inlineStr">
        <is>
          <t>Unknown</t>
        </is>
      </c>
      <c r="J2" s="2" t="inlineStr">
        <is>
          <t>https://pmc.ncbi.nlm.nih.gov/articles/PMC8570984/</t>
        </is>
      </c>
      <c r="K2" s="2" t="inlineStr">
        <is>
          <t>OBSERVED</t>
        </is>
      </c>
      <c r="L2" s="2" t="inlineStr">
        <is>
          <t>AFFILIATION VERIFIED; CURRENT ROLE REQUIRES RECHECK</t>
        </is>
      </c>
      <c r="M2" s="2" t="inlineStr">
        <is>
          <t>SRC-WEB-020</t>
        </is>
      </c>
    </row>
    <row r="3" ht="15.75" customHeight="1">
      <c r="A3" s="2" t="inlineStr">
        <is>
          <t>Qatar</t>
        </is>
      </c>
      <c r="B3" s="2" t="inlineStr">
        <is>
          <t>Abdullah Ibrahim Hamad</t>
        </is>
      </c>
      <c r="C3" s="2" t="inlineStr">
        <is>
          <t>Hamad Medical Corporation</t>
        </is>
      </c>
      <c r="D3" s="2" t="inlineStr">
        <is>
          <t>Doha</t>
        </is>
      </c>
      <c r="E3" s="2" t="inlineStr">
        <is>
          <t>Nephrology / Dialysis</t>
        </is>
      </c>
      <c r="F3" s="2" t="inlineStr"/>
      <c r="G3" s="2" t="inlineStr">
        <is>
          <t>Dialysis program leadership evidence</t>
        </is>
      </c>
      <c r="H3" s="2" t="inlineStr">
        <is>
          <t>Very_High</t>
        </is>
      </c>
      <c r="I3" s="2" t="inlineStr">
        <is>
          <t>High</t>
        </is>
      </c>
      <c r="J3" s="2" t="inlineStr">
        <is>
          <t>https://hamad.qa/EN/Hospitals-and-services/Hamad-General-Hospital/Pages/Dialysis-Division.aspx</t>
        </is>
      </c>
      <c r="K3" s="2" t="inlineStr">
        <is>
          <t>OBSERVED</t>
        </is>
      </c>
      <c r="L3" s="2" t="inlineStr">
        <is>
          <t>AFFILIATION VERIFIED; CURRENT ROLE REQUIRES RECHECK</t>
        </is>
      </c>
      <c r="M3" s="2" t="inlineStr">
        <is>
          <t>SRC-WEB-021</t>
        </is>
      </c>
    </row>
    <row r="4" ht="15.75" customHeight="1">
      <c r="A4" s="2" t="inlineStr">
        <is>
          <t>Qatar</t>
        </is>
      </c>
      <c r="B4" s="2" t="inlineStr">
        <is>
          <t>Tarek A. Ghonimi</t>
        </is>
      </c>
      <c r="C4" s="2" t="inlineStr">
        <is>
          <t>Hamad Medical Corporation</t>
        </is>
      </c>
      <c r="D4" s="2" t="inlineStr">
        <is>
          <t>Doha</t>
        </is>
      </c>
      <c r="E4" s="2" t="inlineStr">
        <is>
          <t>Nephrology / Dialysis</t>
        </is>
      </c>
      <c r="F4" s="2" t="inlineStr"/>
      <c r="G4" s="2" t="inlineStr">
        <is>
          <t>Dialysis research leadership evidence</t>
        </is>
      </c>
      <c r="H4" s="2" t="inlineStr">
        <is>
          <t>High</t>
        </is>
      </c>
      <c r="I4" s="2" t="inlineStr">
        <is>
          <t>High</t>
        </is>
      </c>
      <c r="J4" s="2" t="inlineStr">
        <is>
          <t>https://pmc.ncbi.nlm.nih.gov/articles/PMC8297751/</t>
        </is>
      </c>
      <c r="K4" s="2" t="inlineStr">
        <is>
          <t>OBSERVED</t>
        </is>
      </c>
      <c r="L4" s="2" t="inlineStr">
        <is>
          <t>AFFILIATION VERIFIED; CURRENT ROLE REQUIRES RECHECK</t>
        </is>
      </c>
      <c r="M4" s="2" t="inlineStr">
        <is>
          <t>SRC-WEB-025</t>
        </is>
      </c>
    </row>
    <row r="5" ht="15.75" customHeight="1">
      <c r="A5" s="2" t="inlineStr">
        <is>
          <t>Qatar</t>
        </is>
      </c>
      <c r="B5" s="2" t="inlineStr">
        <is>
          <t>Fadwa Al-Ali</t>
        </is>
      </c>
      <c r="C5" s="2" t="inlineStr">
        <is>
          <t>Hamad Medical Corporation</t>
        </is>
      </c>
      <c r="D5" s="2" t="inlineStr">
        <is>
          <t>Doha</t>
        </is>
      </c>
      <c r="E5" s="2" t="inlineStr">
        <is>
          <t>Nephrology / Dialysis</t>
        </is>
      </c>
      <c r="F5" s="2" t="inlineStr"/>
      <c r="G5" s="2" t="inlineStr">
        <is>
          <t>Dialysis clinical/research leadership evidence</t>
        </is>
      </c>
      <c r="H5" s="2" t="inlineStr">
        <is>
          <t>High</t>
        </is>
      </c>
      <c r="I5" s="2" t="inlineStr">
        <is>
          <t>High</t>
        </is>
      </c>
      <c r="J5" s="2" t="inlineStr">
        <is>
          <t>https://pmc.ncbi.nlm.nih.gov/articles/PMC8297751/</t>
        </is>
      </c>
      <c r="K5" s="2" t="inlineStr">
        <is>
          <t>OBSERVED</t>
        </is>
      </c>
      <c r="L5" s="2" t="inlineStr">
        <is>
          <t>AFFILIATION VERIFIED; CURRENT ROLE REQUIRES RECHECK</t>
        </is>
      </c>
      <c r="M5" s="2" t="inlineStr">
        <is>
          <t>SRC-WEB-025</t>
        </is>
      </c>
    </row>
    <row r="6" ht="15.75" customHeight="1">
      <c r="A6" s="2" t="inlineStr">
        <is>
          <t>Kuwait</t>
        </is>
      </c>
      <c r="B6" s="2" t="inlineStr">
        <is>
          <t>Ali AlSahow</t>
        </is>
      </c>
      <c r="C6" s="2" t="inlineStr">
        <is>
          <t>Jahra Hospital</t>
        </is>
      </c>
      <c r="D6" s="2" t="inlineStr">
        <is>
          <t>Al Jahra</t>
        </is>
      </c>
      <c r="E6" s="2" t="inlineStr">
        <is>
          <t>Nephrology</t>
        </is>
      </c>
      <c r="F6" s="2" t="inlineStr">
        <is>
          <t>Division of Nephrology</t>
        </is>
      </c>
      <c r="G6" s="2" t="inlineStr">
        <is>
          <t>Hospital nephrology and dialysis leadership evidence</t>
        </is>
      </c>
      <c r="H6" s="2" t="inlineStr">
        <is>
          <t>Very_High</t>
        </is>
      </c>
      <c r="I6" s="2" t="inlineStr">
        <is>
          <t>High</t>
        </is>
      </c>
      <c r="J6" s="2" t="inlineStr">
        <is>
          <t>https://pmc.ncbi.nlm.nih.gov/articles/PMC8791361/</t>
        </is>
      </c>
      <c r="K6" s="2" t="inlineStr">
        <is>
          <t>OBSERVED</t>
        </is>
      </c>
      <c r="L6" s="2" t="inlineStr">
        <is>
          <t>AFFILIATION VERIFIED; CURRENT ROLE REQUIRES RECHECK</t>
        </is>
      </c>
      <c r="M6" s="2" t="inlineStr">
        <is>
          <t>SRC-WEB-027</t>
        </is>
      </c>
    </row>
    <row r="7" ht="15.75" customHeight="1">
      <c r="A7" s="2" t="inlineStr">
        <is>
          <t>Kuwait</t>
        </is>
      </c>
      <c r="B7" s="2" t="inlineStr">
        <is>
          <t>Yousif Bahbahani</t>
        </is>
      </c>
      <c r="C7" s="2" t="inlineStr">
        <is>
          <t>Mubarak Hospital</t>
        </is>
      </c>
      <c r="D7" s="2" t="inlineStr">
        <is>
          <t>Jabriya</t>
        </is>
      </c>
      <c r="E7" s="2" t="inlineStr">
        <is>
          <t>Nephrology</t>
        </is>
      </c>
      <c r="F7" s="2" t="inlineStr">
        <is>
          <t>Division of Nephrology</t>
        </is>
      </c>
      <c r="G7" s="2" t="inlineStr">
        <is>
          <t>Hospital nephrology and dialysis evidence</t>
        </is>
      </c>
      <c r="H7" s="2" t="inlineStr">
        <is>
          <t>High</t>
        </is>
      </c>
      <c r="I7" s="2" t="inlineStr">
        <is>
          <t>High</t>
        </is>
      </c>
      <c r="J7" s="2" t="inlineStr">
        <is>
          <t>https://pmc.ncbi.nlm.nih.gov/articles/PMC12133130/</t>
        </is>
      </c>
      <c r="K7" s="2" t="inlineStr">
        <is>
          <t>OBSERVED</t>
        </is>
      </c>
      <c r="L7" s="2" t="inlineStr">
        <is>
          <t>AFFILIATION VERIFIED; CURRENT ROLE REQUIRES RECHECK</t>
        </is>
      </c>
      <c r="M7" s="2" t="inlineStr">
        <is>
          <t>SRC-WEB-028</t>
        </is>
      </c>
    </row>
    <row r="8" ht="30" customHeight="1">
      <c r="A8" s="2" t="inlineStr">
        <is>
          <t>Kuwait</t>
        </is>
      </c>
      <c r="B8" s="2" t="inlineStr">
        <is>
          <t>Anas AlYousef</t>
        </is>
      </c>
      <c r="C8" s="2" t="inlineStr">
        <is>
          <t>Amiri Hospital / Jaber Hospital</t>
        </is>
      </c>
      <c r="D8" s="2" t="inlineStr">
        <is>
          <t>Kuwait City</t>
        </is>
      </c>
      <c r="E8" s="2" t="inlineStr">
        <is>
          <t>Nephrology</t>
        </is>
      </c>
      <c r="F8" s="2" t="inlineStr"/>
      <c r="G8" s="2" t="inlineStr">
        <is>
          <t>Dialysis research leadership evidence</t>
        </is>
      </c>
      <c r="H8" s="2" t="inlineStr">
        <is>
          <t>High</t>
        </is>
      </c>
      <c r="I8" s="2" t="inlineStr">
        <is>
          <t>High</t>
        </is>
      </c>
      <c r="J8" s="2" t="inlineStr">
        <is>
          <t>https://pmc.ncbi.nlm.nih.gov/articles/PMC12133130/</t>
        </is>
      </c>
      <c r="K8" s="2" t="inlineStr">
        <is>
          <t>OBSERVED</t>
        </is>
      </c>
      <c r="L8" s="2" t="inlineStr">
        <is>
          <t>AFFILIATION VERIFIED; CURRENT ROLE REQUIRES RECHECK</t>
        </is>
      </c>
      <c r="M8" s="2" t="inlineStr">
        <is>
          <t>SRC-WEB-028</t>
        </is>
      </c>
    </row>
    <row r="9" ht="15.75" customHeight="1">
      <c r="A9" s="2" t="inlineStr">
        <is>
          <t>Jordan</t>
        </is>
      </c>
      <c r="B9" s="2" t="inlineStr">
        <is>
          <t>Sameeha Alshelleh</t>
        </is>
      </c>
      <c r="C9" s="2" t="inlineStr">
        <is>
          <t>University of Jordan / Jordan University Hospital</t>
        </is>
      </c>
      <c r="D9" s="2" t="inlineStr">
        <is>
          <t>Amman</t>
        </is>
      </c>
      <c r="E9" s="2" t="inlineStr">
        <is>
          <t>Nephrology</t>
        </is>
      </c>
      <c r="F9" s="2" t="inlineStr">
        <is>
          <t>Division of Nephrology</t>
        </is>
      </c>
      <c r="G9" s="2" t="inlineStr">
        <is>
          <t>HD clinical/research leadership evidence</t>
        </is>
      </c>
      <c r="H9" s="2" t="inlineStr">
        <is>
          <t>High</t>
        </is>
      </c>
      <c r="I9" s="2" t="inlineStr">
        <is>
          <t>High</t>
        </is>
      </c>
      <c r="J9" s="2" t="inlineStr">
        <is>
          <t>https://pmc.ncbi.nlm.nih.gov/articles/PMC7175504/</t>
        </is>
      </c>
      <c r="K9" s="2" t="inlineStr">
        <is>
          <t>OBSERVED</t>
        </is>
      </c>
      <c r="L9" s="2" t="inlineStr">
        <is>
          <t>AFFILIATION VERIFIED; CURRENT ROLE REQUIRES RECHECK</t>
        </is>
      </c>
      <c r="M9" s="2" t="inlineStr">
        <is>
          <t>SRC-WEB-042</t>
        </is>
      </c>
    </row>
    <row r="10" ht="15.75" customHeight="1">
      <c r="A10" s="2" t="inlineStr">
        <is>
          <t>Jordan</t>
        </is>
      </c>
      <c r="B10" s="2" t="inlineStr">
        <is>
          <t>Ashraf Oweis</t>
        </is>
      </c>
      <c r="C10" s="2" t="inlineStr">
        <is>
          <t>Jordan University of Science and Technology</t>
        </is>
      </c>
      <c r="D10" s="2" t="inlineStr">
        <is>
          <t>Irbid</t>
        </is>
      </c>
      <c r="E10" s="2" t="inlineStr">
        <is>
          <t>Nephrology</t>
        </is>
      </c>
      <c r="F10" s="2" t="inlineStr">
        <is>
          <t>Division of Nephrology</t>
        </is>
      </c>
      <c r="G10" s="2" t="inlineStr">
        <is>
          <t>HD clinical/research leadership evidence</t>
        </is>
      </c>
      <c r="H10" s="2" t="inlineStr">
        <is>
          <t>High</t>
        </is>
      </c>
      <c r="I10" s="2" t="inlineStr">
        <is>
          <t>High</t>
        </is>
      </c>
      <c r="J10" s="2" t="inlineStr">
        <is>
          <t>https://pmc.ncbi.nlm.nih.gov/articles/PMC11486397/</t>
        </is>
      </c>
      <c r="K10" s="2" t="inlineStr">
        <is>
          <t>OBSERVED</t>
        </is>
      </c>
      <c r="L10" s="2" t="inlineStr">
        <is>
          <t>AFFILIATION VERIFIED; CURRENT ROLE REQUIRES RECHECK</t>
        </is>
      </c>
      <c r="M10" s="2" t="inlineStr">
        <is>
          <t>SRC-WEB-040</t>
        </is>
      </c>
    </row>
    <row r="11">
      <c r="A11" s="2" t="inlineStr">
        <is>
          <t>Lebanon</t>
        </is>
      </c>
      <c r="B11" s="2" t="inlineStr">
        <is>
          <t>Samer Koubar</t>
        </is>
      </c>
      <c r="C11" s="2" t="inlineStr">
        <is>
          <t>American University of Beirut</t>
        </is>
      </c>
      <c r="D11" s="2" t="inlineStr">
        <is>
          <t>Beirut</t>
        </is>
      </c>
      <c r="E11" s="2" t="inlineStr">
        <is>
          <t>Nephrology</t>
        </is>
      </c>
      <c r="F11" s="2" t="inlineStr"/>
      <c r="G11" s="2" t="inlineStr">
        <is>
          <t>National dialysis leadership evidence</t>
        </is>
      </c>
      <c r="H11" s="2" t="inlineStr">
        <is>
          <t>High</t>
        </is>
      </c>
      <c r="I11" s="2" t="inlineStr">
        <is>
          <t>High</t>
        </is>
      </c>
      <c r="J11" s="2" t="inlineStr">
        <is>
          <t>https://pmc.ncbi.nlm.nih.gov/articles/PMC10547222/</t>
        </is>
      </c>
      <c r="K11" s="2" t="inlineStr">
        <is>
          <t>OBSERVED</t>
        </is>
      </c>
      <c r="L11" s="2" t="inlineStr">
        <is>
          <t>AFFILIATION / AUTHORSHIP VERIFIED; CURRENT ROLE REQUIRES RECHECK</t>
        </is>
      </c>
      <c r="M11" s="2" t="inlineStr">
        <is>
          <t>SRC-WEB-044</t>
        </is>
      </c>
    </row>
    <row r="12">
      <c r="A12" s="2" t="inlineStr">
        <is>
          <t>Iraq</t>
        </is>
      </c>
      <c r="B12" s="2" t="inlineStr">
        <is>
          <t>Ali Jasim Al Saedi</t>
        </is>
      </c>
      <c r="C12" s="2" t="inlineStr">
        <is>
          <t>University of Baghdad - Nephrology and Renal Transplantation Center</t>
        </is>
      </c>
      <c r="D12" s="2" t="inlineStr">
        <is>
          <t>Baghdad</t>
        </is>
      </c>
      <c r="E12" s="2" t="inlineStr">
        <is>
          <t>Nephrology / Renal Transplantation</t>
        </is>
      </c>
      <c r="F12" s="2" t="inlineStr"/>
      <c r="G12" s="2" t="inlineStr">
        <is>
          <t>National HD research and renal program evidence</t>
        </is>
      </c>
      <c r="H12" s="2" t="inlineStr">
        <is>
          <t>Very_High</t>
        </is>
      </c>
      <c r="I12" s="2" t="inlineStr">
        <is>
          <t>High</t>
        </is>
      </c>
      <c r="J12" s="2" t="inlineStr">
        <is>
          <t>https://iqnjm.com/index.php/homepage/article/view/187</t>
        </is>
      </c>
      <c r="K12" s="2" t="inlineStr">
        <is>
          <t>OBSERVED</t>
        </is>
      </c>
      <c r="L12" s="2" t="inlineStr">
        <is>
          <t>AFFILIATION VERIFIED; CURRENT ROLE REQUIRES RECHECK</t>
        </is>
      </c>
      <c r="M12" s="2" t="inlineStr">
        <is>
          <t>SRC-WEB-050</t>
        </is>
      </c>
    </row>
    <row r="13">
      <c r="A13" s="2" t="inlineStr">
        <is>
          <t>Iraq</t>
        </is>
      </c>
      <c r="B13" s="2" t="inlineStr">
        <is>
          <t>Ismael Miaad Ismael</t>
        </is>
      </c>
      <c r="C13" s="2" t="inlineStr">
        <is>
          <t>Baghdad Teaching Hospital - Medical City</t>
        </is>
      </c>
      <c r="D13" s="2" t="inlineStr">
        <is>
          <t>Baghdad</t>
        </is>
      </c>
      <c r="E13" s="2" t="inlineStr">
        <is>
          <t>Nephrology / Hemodialysis</t>
        </is>
      </c>
      <c r="F13" s="2" t="inlineStr"/>
      <c r="G13" s="2" t="inlineStr">
        <is>
          <t>National HD research evidence</t>
        </is>
      </c>
      <c r="H13" s="2" t="inlineStr">
        <is>
          <t>High</t>
        </is>
      </c>
      <c r="I13" s="2" t="inlineStr">
        <is>
          <t>High</t>
        </is>
      </c>
      <c r="J13" s="2" t="inlineStr">
        <is>
          <t>https://iqnjm.com/index.php/homepage/article/view/187</t>
        </is>
      </c>
      <c r="K13" s="2" t="inlineStr">
        <is>
          <t>OBSERVED</t>
        </is>
      </c>
      <c r="L13" s="2" t="inlineStr">
        <is>
          <t>AFFILIATION VERIFIED; CURRENT ROLE REQUIRES RECHECK</t>
        </is>
      </c>
      <c r="M13" s="2" t="inlineStr">
        <is>
          <t>SRC-WEB-050</t>
        </is>
      </c>
    </row>
  </sheetData>
  <autoFilter ref="A1:M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0"/>
  <sheetViews>
    <sheetView showGridLines="1" workbookViewId="0">
      <pane ySplit="1" topLeftCell="A2" activePane="bottomLeft" state="frozen"/>
      <selection pane="bottomLeft" activeCell="A1" sqref="A1"/>
      <selection pane="bottomLeft" activeCell="A1" sqref="A1"/>
    </sheetView>
  </sheetViews>
  <sheetFormatPr baseColWidth="8" defaultColWidth="9" defaultRowHeight="15"/>
  <cols>
    <col width="14" customWidth="1" min="1" max="1"/>
    <col width="45" customWidth="1" min="2" max="2"/>
    <col width="18" customWidth="1" min="3" max="4"/>
    <col width="12" customWidth="1" min="4" max="4"/>
    <col width="20" customWidth="1" min="5" max="5"/>
    <col width="18" customWidth="1" min="6" max="6"/>
    <col width="20" customWidth="1" min="7" max="7"/>
    <col width="14" customWidth="1" min="8" max="8"/>
    <col width="21" customWidth="1" min="9" max="9"/>
    <col width="45" customWidth="1" min="10" max="10"/>
    <col width="45" customWidth="1" min="11" max="11"/>
    <col width="16" customWidth="1" min="12" max="12"/>
    <col width="45" customWidth="1" min="13" max="13"/>
    <col width="45" customWidth="1" min="14" max="14"/>
  </cols>
  <sheetData>
    <row r="1">
      <c r="A1" s="8" t="inlineStr">
        <is>
          <t>Country</t>
        </is>
      </c>
      <c r="B1" s="8" t="inlineStr">
        <is>
          <t>Hospital_Name</t>
        </is>
      </c>
      <c r="C1" s="8" t="inlineStr">
        <is>
          <t>City</t>
        </is>
      </c>
      <c r="D1" s="8" t="inlineStr">
        <is>
          <t>Ownership</t>
        </is>
      </c>
      <c r="E1" s="8" t="inlineStr">
        <is>
          <t>Nephrology_Service</t>
        </is>
      </c>
      <c r="F1" s="8" t="inlineStr">
        <is>
          <t>Dialysis_Service</t>
        </is>
      </c>
      <c r="G1" s="8" t="inlineStr">
        <is>
          <t>Transplant_Service</t>
        </is>
      </c>
      <c r="H1" s="8" t="inlineStr">
        <is>
          <t>HD_Relevance</t>
        </is>
      </c>
      <c r="I1" s="8" t="inlineStr">
        <is>
          <t>Published_HD_Volume</t>
        </is>
      </c>
      <c r="J1" s="8" t="inlineStr">
        <is>
          <t>Why_Important</t>
        </is>
      </c>
      <c r="K1" s="8" t="inlineStr">
        <is>
          <t>Evidence_URL</t>
        </is>
      </c>
      <c r="L1" s="8" t="inlineStr">
        <is>
          <t>Evidence_Level</t>
        </is>
      </c>
      <c r="M1" s="8" t="inlineStr">
        <is>
          <t>Verification_Status</t>
        </is>
      </c>
      <c r="N1" s="8" t="inlineStr">
        <is>
          <t>Source_ID</t>
        </is>
      </c>
    </row>
    <row r="2" ht="15.75" customHeight="1">
      <c r="A2" s="2" t="inlineStr">
        <is>
          <t>Saudi Arabia</t>
        </is>
      </c>
      <c r="B2" s="2" t="inlineStr">
        <is>
          <t>King Salman Center for Kidney Diseases</t>
        </is>
      </c>
      <c r="C2" s="2" t="inlineStr">
        <is>
          <t>Riyadh</t>
        </is>
      </c>
      <c r="D2" s="2" t="inlineStr">
        <is>
          <t>Government</t>
        </is>
      </c>
      <c r="E2" s="2" t="inlineStr">
        <is>
          <t>Yes</t>
        </is>
      </c>
      <c r="F2" s="2" t="inlineStr">
        <is>
          <t>Yes</t>
        </is>
      </c>
      <c r="G2" s="2" t="inlineStr"/>
      <c r="H2" s="2" t="inlineStr">
        <is>
          <t>High</t>
        </is>
      </c>
      <c r="I2" s="2" t="n">
        <v>52018</v>
      </c>
      <c r="J2" s="2" t="inlineStr">
        <is>
          <t>MOH reported 52,018 hemodialysis sessions for 351 patients over 1438H; center provides HD and PD.</t>
        </is>
      </c>
      <c r="K2" s="2" t="inlineStr">
        <is>
          <t>https://www.moh.gov.sa/en/ministry/mediacenter/news/pages/news-2017-10-15-001.aspx</t>
        </is>
      </c>
      <c r="L2" s="2" t="inlineStr">
        <is>
          <t>OBSERVED</t>
        </is>
      </c>
      <c r="M2" s="2" t="inlineStr">
        <is>
          <t>SOURCE-VERIFIED HD SERVICE; CURRENT STATUS SHOULD BE RECHECKED WHERE SOURCE IS HISTORICAL</t>
        </is>
      </c>
      <c r="N2" s="2" t="inlineStr">
        <is>
          <t>SRC-WEB-003</t>
        </is>
      </c>
    </row>
    <row r="3" ht="15.75" customHeight="1">
      <c r="A3" s="2" t="inlineStr">
        <is>
          <t>Saudi Arabia</t>
        </is>
      </c>
      <c r="B3" s="2" t="inlineStr">
        <is>
          <t>Prince Mohammed bin Abdul Aziz Hospital Dialysis Unit</t>
        </is>
      </c>
      <c r="C3" s="2" t="inlineStr">
        <is>
          <t>Riyadh</t>
        </is>
      </c>
      <c r="D3" s="2" t="inlineStr">
        <is>
          <t>Government</t>
        </is>
      </c>
      <c r="E3" s="2" t="inlineStr">
        <is>
          <t>Yes</t>
        </is>
      </c>
      <c r="F3" s="2" t="inlineStr">
        <is>
          <t>Yes</t>
        </is>
      </c>
      <c r="G3" s="2" t="inlineStr"/>
      <c r="H3" s="2" t="inlineStr">
        <is>
          <t>High</t>
        </is>
      </c>
      <c r="I3" s="2" t="inlineStr"/>
      <c r="J3" s="2" t="inlineStr">
        <is>
          <t>MOH documented launch of a dialysis unit providing hemodialysis and peritoneal dialysis in collaboration with Diaverum.</t>
        </is>
      </c>
      <c r="K3" s="2" t="inlineStr">
        <is>
          <t>https://www.moh.gov.sa/en/ministry/mediacenter/news/pages/news-2014-11-18-002.aspx</t>
        </is>
      </c>
      <c r="L3" s="2" t="inlineStr">
        <is>
          <t>OBSERVED</t>
        </is>
      </c>
      <c r="M3" s="2" t="inlineStr">
        <is>
          <t>SOURCE-VERIFIED HD SERVICE; CURRENT STATUS SHOULD BE RECHECKED WHERE SOURCE IS HISTORICAL</t>
        </is>
      </c>
      <c r="N3" s="2" t="inlineStr">
        <is>
          <t>SRC-WEB-009</t>
        </is>
      </c>
    </row>
    <row r="4" ht="15.75" customHeight="1">
      <c r="A4" s="2" t="inlineStr">
        <is>
          <t>Saudi Arabia</t>
        </is>
      </c>
      <c r="B4" s="2" t="inlineStr">
        <is>
          <t>Renal Unit, Long-Term Care Hospital (Ar-Riayah Al-Madidah)</t>
        </is>
      </c>
      <c r="C4" s="2" t="inlineStr">
        <is>
          <t>Khamis Mushait</t>
        </is>
      </c>
      <c r="D4" s="2" t="inlineStr">
        <is>
          <t>Government</t>
        </is>
      </c>
      <c r="E4" s="2" t="inlineStr">
        <is>
          <t>Yes</t>
        </is>
      </c>
      <c r="F4" s="2" t="inlineStr">
        <is>
          <t>Yes</t>
        </is>
      </c>
      <c r="G4" s="2" t="inlineStr"/>
      <c r="H4" s="2" t="inlineStr">
        <is>
          <t>Medium</t>
        </is>
      </c>
      <c r="I4" s="2" t="inlineStr"/>
      <c r="J4" s="2" t="inlineStr">
        <is>
          <t>MOH reported expansion to 15 hemodialysis chairs and capacity increase from 12 to 60 patients.</t>
        </is>
      </c>
      <c r="K4" s="2" t="inlineStr">
        <is>
          <t>https://www.moh.gov.sa/en/ministry/mediacenter/news/pages/news-2021-03-11-001.aspx</t>
        </is>
      </c>
      <c r="L4" s="2" t="inlineStr">
        <is>
          <t>OBSERVED</t>
        </is>
      </c>
      <c r="M4" s="2" t="inlineStr">
        <is>
          <t>SOURCE-VERIFIED HD SERVICE; CURRENT STATUS SHOULD BE RECHECKED WHERE SOURCE IS HISTORICAL</t>
        </is>
      </c>
      <c r="N4" s="2" t="inlineStr">
        <is>
          <t>SRC-WEB-002</t>
        </is>
      </c>
    </row>
    <row r="5" ht="15.75" customHeight="1">
      <c r="A5" s="2" t="inlineStr">
        <is>
          <t>Saudi Arabia</t>
        </is>
      </c>
      <c r="B5" s="2" t="inlineStr">
        <is>
          <t>Renal Unit, A Rafidah General Hospital</t>
        </is>
      </c>
      <c r="C5" s="2" t="inlineStr">
        <is>
          <t>Ahad Rafidah</t>
        </is>
      </c>
      <c r="D5" s="2" t="inlineStr">
        <is>
          <t>Government</t>
        </is>
      </c>
      <c r="E5" s="2" t="inlineStr">
        <is>
          <t>Yes</t>
        </is>
      </c>
      <c r="F5" s="2" t="inlineStr">
        <is>
          <t>Yes</t>
        </is>
      </c>
      <c r="G5" s="2" t="inlineStr"/>
      <c r="H5" s="2" t="inlineStr">
        <is>
          <t>Medium</t>
        </is>
      </c>
      <c r="I5" s="2" t="inlineStr"/>
      <c r="J5" s="2" t="inlineStr">
        <is>
          <t>MOH reported launch at capacity of 3 dialysis chairs and 12 patients.</t>
        </is>
      </c>
      <c r="K5" s="2" t="inlineStr">
        <is>
          <t>https://www.moh.gov.sa/en/ministry/mediacenter/news/pages/news-2021-03-11-001.aspx</t>
        </is>
      </c>
      <c r="L5" s="2" t="inlineStr">
        <is>
          <t>OBSERVED</t>
        </is>
      </c>
      <c r="M5" s="2" t="inlineStr">
        <is>
          <t>SOURCE-VERIFIED HD SERVICE; CURRENT STATUS SHOULD BE RECHECKED WHERE SOURCE IS HISTORICAL</t>
        </is>
      </c>
      <c r="N5" s="2" t="inlineStr">
        <is>
          <t>SRC-WEB-002</t>
        </is>
      </c>
    </row>
    <row r="6" ht="15.75" customHeight="1">
      <c r="A6" s="2" t="inlineStr">
        <is>
          <t>Saudi Arabia</t>
        </is>
      </c>
      <c r="B6" s="2" t="inlineStr">
        <is>
          <t>Renal Center at Muhayil Assir</t>
        </is>
      </c>
      <c r="C6" s="2" t="inlineStr">
        <is>
          <t>Muhayil</t>
        </is>
      </c>
      <c r="D6" s="2" t="inlineStr">
        <is>
          <t>Government</t>
        </is>
      </c>
      <c r="E6" s="2" t="inlineStr">
        <is>
          <t>Yes</t>
        </is>
      </c>
      <c r="F6" s="2" t="inlineStr">
        <is>
          <t>Yes</t>
        </is>
      </c>
      <c r="G6" s="2" t="inlineStr"/>
      <c r="H6" s="2" t="inlineStr">
        <is>
          <t>Medium</t>
        </is>
      </c>
      <c r="I6" s="2" t="inlineStr"/>
      <c r="J6" s="2" t="inlineStr">
        <is>
          <t>MOH reported completion with 20 dialysis chairs and maximum capacity of 80 patients.</t>
        </is>
      </c>
      <c r="K6" s="2" t="inlineStr">
        <is>
          <t>https://www.moh.gov.sa/en/ministry/mediacenter/news/pages/news-2021-03-11-001.aspx</t>
        </is>
      </c>
      <c r="L6" s="2" t="inlineStr">
        <is>
          <t>OBSERVED</t>
        </is>
      </c>
      <c r="M6" s="2" t="inlineStr">
        <is>
          <t>SOURCE-VERIFIED HD SERVICE; CURRENT STATUS SHOULD BE RECHECKED WHERE SOURCE IS HISTORICAL</t>
        </is>
      </c>
      <c r="N6" s="2" t="inlineStr">
        <is>
          <t>SRC-WEB-002</t>
        </is>
      </c>
    </row>
    <row r="7" ht="15.75" customHeight="1">
      <c r="A7" s="2" t="inlineStr">
        <is>
          <t>Saudi Arabia</t>
        </is>
      </c>
      <c r="B7" s="2" t="inlineStr">
        <is>
          <t>King Fahad Center for Kidney, King Saud Medical City</t>
        </is>
      </c>
      <c r="C7" s="2" t="inlineStr">
        <is>
          <t>Riyadh</t>
        </is>
      </c>
      <c r="D7" s="2" t="inlineStr">
        <is>
          <t>Government</t>
        </is>
      </c>
      <c r="E7" s="2" t="inlineStr">
        <is>
          <t>Yes</t>
        </is>
      </c>
      <c r="F7" s="2" t="inlineStr">
        <is>
          <t>Yes</t>
        </is>
      </c>
      <c r="G7" s="2" t="inlineStr"/>
      <c r="H7" s="2" t="inlineStr">
        <is>
          <t>Medium</t>
        </is>
      </c>
      <c r="I7" s="2" t="inlineStr"/>
      <c r="J7" s="2" t="inlineStr">
        <is>
          <t>MOH reported center capacity increase from 240 to 300 patients in Q4 2020.</t>
        </is>
      </c>
      <c r="K7" s="2" t="inlineStr">
        <is>
          <t>https://www.moh.gov.sa/en/ministry/mediacenter/news/pages/news-2021-03-11-001.aspx</t>
        </is>
      </c>
      <c r="L7" s="2" t="inlineStr">
        <is>
          <t>OBSERVED</t>
        </is>
      </c>
      <c r="M7" s="2" t="inlineStr">
        <is>
          <t>SOURCE-VERIFIED HD SERVICE; CURRENT STATUS SHOULD BE RECHECKED WHERE SOURCE IS HISTORICAL</t>
        </is>
      </c>
      <c r="N7" s="2" t="inlineStr">
        <is>
          <t>SRC-WEB-002</t>
        </is>
      </c>
    </row>
    <row r="8" ht="30" customHeight="1">
      <c r="A8" s="2" t="inlineStr">
        <is>
          <t>Saudi Arabia</t>
        </is>
      </c>
      <c r="B8" s="2" t="inlineStr">
        <is>
          <t>King Abdulaziz Kidney Center, King Fahad General Hospital - Madinah</t>
        </is>
      </c>
      <c r="C8" s="2" t="inlineStr">
        <is>
          <t>Madinah</t>
        </is>
      </c>
      <c r="D8" s="2" t="inlineStr">
        <is>
          <t>Government</t>
        </is>
      </c>
      <c r="E8" s="2" t="inlineStr">
        <is>
          <t>Yes</t>
        </is>
      </c>
      <c r="F8" s="2" t="inlineStr">
        <is>
          <t>Yes</t>
        </is>
      </c>
      <c r="G8" s="2" t="inlineStr"/>
      <c r="H8" s="2" t="inlineStr">
        <is>
          <t>High</t>
        </is>
      </c>
      <c r="I8" s="2" t="n">
        <v>54288</v>
      </c>
      <c r="J8" s="2" t="inlineStr">
        <is>
          <t>MOH reported 54,288 dialysis sessions in a year and 95 well-equipped beds; beds are not treated as HD stations.</t>
        </is>
      </c>
      <c r="K8" s="2" t="inlineStr">
        <is>
          <t>https://www.moh.gov.sa/en/ministry/mediacenter/news/pages/news-2018-03-29-004.aspx</t>
        </is>
      </c>
      <c r="L8" s="2" t="inlineStr">
        <is>
          <t>OBSERVED</t>
        </is>
      </c>
      <c r="M8" s="2" t="inlineStr">
        <is>
          <t>SOURCE-VERIFIED HD SERVICE; CURRENT STATUS SHOULD BE RECHECKED WHERE SOURCE IS HISTORICAL</t>
        </is>
      </c>
      <c r="N8" s="2" t="inlineStr">
        <is>
          <t>SRC-WEB-004</t>
        </is>
      </c>
    </row>
    <row r="9" ht="15.75" customHeight="1">
      <c r="A9" s="2" t="inlineStr">
        <is>
          <t>Saudi Arabia</t>
        </is>
      </c>
      <c r="B9" s="2" t="inlineStr">
        <is>
          <t>Al-Dammam Medical Complex</t>
        </is>
      </c>
      <c r="C9" s="2" t="inlineStr">
        <is>
          <t>Dammam</t>
        </is>
      </c>
      <c r="D9" s="2" t="inlineStr">
        <is>
          <t>Government</t>
        </is>
      </c>
      <c r="E9" s="2" t="inlineStr">
        <is>
          <t>Yes</t>
        </is>
      </c>
      <c r="F9" s="2" t="inlineStr">
        <is>
          <t>Yes</t>
        </is>
      </c>
      <c r="G9" s="2" t="inlineStr"/>
      <c r="H9" s="2" t="inlineStr">
        <is>
          <t>High</t>
        </is>
      </c>
      <c r="I9" s="2" t="n">
        <v>31818</v>
      </c>
      <c r="J9" s="2" t="inlineStr">
        <is>
          <t>MOH reported 31,818 dialysis sessions in 2017.</t>
        </is>
      </c>
      <c r="K9" s="2" t="inlineStr">
        <is>
          <t>https://www.moh.gov.sa/en/ministry/mediacenter/news/pages/news-2018-01-10-007.aspx</t>
        </is>
      </c>
      <c r="L9" s="2" t="inlineStr">
        <is>
          <t>OBSERVED</t>
        </is>
      </c>
      <c r="M9" s="2" t="inlineStr">
        <is>
          <t>SOURCE-VERIFIED HD SERVICE; CURRENT STATUS SHOULD BE RECHECKED WHERE SOURCE IS HISTORICAL</t>
        </is>
      </c>
      <c r="N9" s="2" t="inlineStr">
        <is>
          <t>SRC-WEB-005</t>
        </is>
      </c>
    </row>
    <row r="10" ht="15.75" customHeight="1">
      <c r="A10" s="2" t="inlineStr">
        <is>
          <t>Saudi Arabia</t>
        </is>
      </c>
      <c r="B10" s="2" t="inlineStr">
        <is>
          <t>Al-Qatif Central Hospital</t>
        </is>
      </c>
      <c r="C10" s="2" t="inlineStr">
        <is>
          <t>Qatif</t>
        </is>
      </c>
      <c r="D10" s="2" t="inlineStr">
        <is>
          <t>Government</t>
        </is>
      </c>
      <c r="E10" s="2" t="inlineStr">
        <is>
          <t>Yes</t>
        </is>
      </c>
      <c r="F10" s="2" t="inlineStr">
        <is>
          <t>Yes</t>
        </is>
      </c>
      <c r="G10" s="2" t="inlineStr"/>
      <c r="H10" s="2" t="inlineStr">
        <is>
          <t>Medium</t>
        </is>
      </c>
      <c r="I10" s="2" t="n">
        <v>821</v>
      </c>
      <c r="J10" s="2" t="inlineStr">
        <is>
          <t>MOH reported 821 dialysis sessions in 2017.</t>
        </is>
      </c>
      <c r="K10" s="2" t="inlineStr">
        <is>
          <t>https://www.moh.gov.sa/en/ministry/mediacenter/news/pages/news-2018-01-10-007.aspx</t>
        </is>
      </c>
      <c r="L10" s="2" t="inlineStr">
        <is>
          <t>OBSERVED</t>
        </is>
      </c>
      <c r="M10" s="2" t="inlineStr">
        <is>
          <t>SOURCE-VERIFIED HD SERVICE; CURRENT STATUS SHOULD BE RECHECKED WHERE SOURCE IS HISTORICAL</t>
        </is>
      </c>
      <c r="N10" s="2" t="inlineStr">
        <is>
          <t>SRC-WEB-005</t>
        </is>
      </c>
    </row>
    <row r="11">
      <c r="A11" s="2" t="inlineStr">
        <is>
          <t>Saudi Arabia</t>
        </is>
      </c>
      <c r="B11" s="2" t="inlineStr">
        <is>
          <t>Rowaidat Al-Ardh Hospital</t>
        </is>
      </c>
      <c r="C11" s="2" t="inlineStr">
        <is>
          <t>Rowaidat Al-Ardh</t>
        </is>
      </c>
      <c r="D11" s="2" t="inlineStr">
        <is>
          <t>Government</t>
        </is>
      </c>
      <c r="E11" s="2" t="inlineStr">
        <is>
          <t>Yes</t>
        </is>
      </c>
      <c r="F11" s="2" t="inlineStr">
        <is>
          <t>Yes</t>
        </is>
      </c>
      <c r="G11" s="2" t="inlineStr"/>
      <c r="H11" s="2" t="inlineStr">
        <is>
          <t>Medium</t>
        </is>
      </c>
      <c r="I11" s="2" t="n">
        <v>1066</v>
      </c>
      <c r="J11" s="2" t="inlineStr">
        <is>
          <t>MOH reported 1,066 dialysis sessions during first half of 2018.</t>
        </is>
      </c>
      <c r="K11" s="2" t="inlineStr">
        <is>
          <t>https://www.moh.gov.sa/en/ministry/mediacenter/news/pages/news-2018-01-07-0004.aspx</t>
        </is>
      </c>
      <c r="L11" s="2" t="inlineStr">
        <is>
          <t>OBSERVED</t>
        </is>
      </c>
      <c r="M11" s="2" t="inlineStr">
        <is>
          <t>SOURCE-VERIFIED HD SERVICE; CURRENT STATUS SHOULD BE RECHECKED WHERE SOURCE IS HISTORICAL</t>
        </is>
      </c>
      <c r="N11" s="2" t="inlineStr">
        <is>
          <t>SRC-WEB-006</t>
        </is>
      </c>
    </row>
    <row r="12">
      <c r="A12" s="2" t="inlineStr">
        <is>
          <t>Saudi Arabia</t>
        </is>
      </c>
      <c r="B12" s="2" t="inlineStr">
        <is>
          <t>Al-Rain General Hospital Kidney Center</t>
        </is>
      </c>
      <c r="C12" s="2" t="inlineStr">
        <is>
          <t>Al-Rain</t>
        </is>
      </c>
      <c r="D12" s="2" t="inlineStr">
        <is>
          <t>Government</t>
        </is>
      </c>
      <c r="E12" s="2" t="inlineStr">
        <is>
          <t>Yes</t>
        </is>
      </c>
      <c r="F12" s="2" t="inlineStr">
        <is>
          <t>Yes</t>
        </is>
      </c>
      <c r="G12" s="2" t="inlineStr"/>
      <c r="H12" s="2" t="inlineStr">
        <is>
          <t>Medium</t>
        </is>
      </c>
      <c r="I12" s="2" t="inlineStr"/>
      <c r="J12" s="2" t="inlineStr">
        <is>
          <t>MOH reported kidney center planned/operating to serve 1,680 dialysis sessions annually; source does not specify station count.</t>
        </is>
      </c>
      <c r="K12" s="2" t="inlineStr">
        <is>
          <t>https://www.moh.gov.sa/en/ministry/mediacenter/news/pages/news-2025-04-13-002.aspx</t>
        </is>
      </c>
      <c r="L12" s="2" t="inlineStr">
        <is>
          <t>OBSERVED</t>
        </is>
      </c>
      <c r="M12" s="2" t="inlineStr">
        <is>
          <t>SOURCE-VERIFIED HD SERVICE; CURRENT STATUS SHOULD BE RECHECKED WHERE SOURCE IS HISTORICAL</t>
        </is>
      </c>
      <c r="N12" s="2" t="inlineStr">
        <is>
          <t>SRC-WEB-007</t>
        </is>
      </c>
    </row>
    <row r="13">
      <c r="A13" s="2" t="inlineStr">
        <is>
          <t>Saudi Arabia</t>
        </is>
      </c>
      <c r="B13" s="2" t="inlineStr">
        <is>
          <t>Al-Qassim Charitable Complex for Kidney Dialysis and Dentistry</t>
        </is>
      </c>
      <c r="C13" s="2" t="inlineStr">
        <is>
          <t>Al-Qassim</t>
        </is>
      </c>
      <c r="D13" s="2" t="inlineStr">
        <is>
          <t>Charitable</t>
        </is>
      </c>
      <c r="E13" s="2" t="inlineStr">
        <is>
          <t>Yes</t>
        </is>
      </c>
      <c r="F13" s="2" t="inlineStr">
        <is>
          <t>Yes</t>
        </is>
      </c>
      <c r="G13" s="2" t="inlineStr"/>
      <c r="H13" s="2" t="inlineStr">
        <is>
          <t>Medium</t>
        </is>
      </c>
      <c r="I13" s="2" t="inlineStr"/>
      <c r="J13" s="2" t="inlineStr">
        <is>
          <t>MOH reported kidney dialysis complex with 15 kidney dialysis chairs.</t>
        </is>
      </c>
      <c r="K13" s="2" t="inlineStr">
        <is>
          <t>https://www.moh.gov.sa/en/ministry/mediacenter/news/pages/news-2025-04-13-002.aspx</t>
        </is>
      </c>
      <c r="L13" s="2" t="inlineStr">
        <is>
          <t>OBSERVED</t>
        </is>
      </c>
      <c r="M13" s="2" t="inlineStr">
        <is>
          <t>SOURCE-VERIFIED HD SERVICE; CURRENT STATUS SHOULD BE RECHECKED WHERE SOURCE IS HISTORICAL</t>
        </is>
      </c>
      <c r="N13" s="2" t="inlineStr">
        <is>
          <t>SRC-WEB-007</t>
        </is>
      </c>
    </row>
    <row r="14">
      <c r="A14" s="2" t="inlineStr">
        <is>
          <t>UAE</t>
        </is>
      </c>
      <c r="B14" s="2" t="inlineStr">
        <is>
          <t>Canadian Specialist Hospital</t>
        </is>
      </c>
      <c r="C14" s="2" t="inlineStr">
        <is>
          <t>Dubai</t>
        </is>
      </c>
      <c r="D14" s="2" t="inlineStr">
        <is>
          <t>Unknown</t>
        </is>
      </c>
      <c r="E14" s="2" t="inlineStr">
        <is>
          <t>Yes</t>
        </is>
      </c>
      <c r="F14" s="2" t="inlineStr">
        <is>
          <t>Yes</t>
        </is>
      </c>
      <c r="G14" s="2" t="inlineStr"/>
      <c r="H14" s="2" t="inlineStr">
        <is>
          <t>High</t>
        </is>
      </c>
      <c r="I14" s="2" t="inlineStr"/>
      <c r="J14" s="2" t="inlineStr">
        <is>
          <t>DHA facility directory lists Renal Dialysis as a specialty.</t>
        </is>
      </c>
      <c r="K14" s="2" t="inlineStr">
        <is>
          <t>https://services.dha.gov.ae/sheryan/wps/portal/home/medical-directory/facility-details?facilityId=0047278</t>
        </is>
      </c>
      <c r="L14" s="2" t="inlineStr">
        <is>
          <t>OBSERVED</t>
        </is>
      </c>
      <c r="M14" s="2" t="inlineStr">
        <is>
          <t>SOURCE-VERIFIED HD SERVICE; CURRENT STATUS SHOULD BE RECHECKED WHERE SOURCE IS HISTORICAL</t>
        </is>
      </c>
      <c r="N14" s="2" t="inlineStr">
        <is>
          <t>SRC-WEB-014</t>
        </is>
      </c>
    </row>
    <row r="15">
      <c r="A15" s="2" t="inlineStr">
        <is>
          <t>UAE</t>
        </is>
      </c>
      <c r="B15" s="2" t="inlineStr">
        <is>
          <t>American Hospital Dubai</t>
        </is>
      </c>
      <c r="C15" s="2" t="inlineStr">
        <is>
          <t>Dubai</t>
        </is>
      </c>
      <c r="D15" s="2" t="inlineStr">
        <is>
          <t>Unknown</t>
        </is>
      </c>
      <c r="E15" s="2" t="inlineStr">
        <is>
          <t>Yes</t>
        </is>
      </c>
      <c r="F15" s="2" t="inlineStr">
        <is>
          <t>Yes</t>
        </is>
      </c>
      <c r="G15" s="2" t="inlineStr"/>
      <c r="H15" s="2" t="inlineStr">
        <is>
          <t>High</t>
        </is>
      </c>
      <c r="I15" s="2" t="inlineStr"/>
      <c r="J15" s="2" t="inlineStr">
        <is>
          <t>DHA facility directory lists Renal Dialysis as a specialty.</t>
        </is>
      </c>
      <c r="K15" s="2" t="inlineStr">
        <is>
          <t>https://services.dha.gov.ae/sheryan/wps/portal/home/medical-directory/facility-details?facilityId=0045621</t>
        </is>
      </c>
      <c r="L15" s="2" t="inlineStr">
        <is>
          <t>OBSERVED</t>
        </is>
      </c>
      <c r="M15" s="2" t="inlineStr">
        <is>
          <t>SOURCE-VERIFIED HD SERVICE; CURRENT STATUS SHOULD BE RECHECKED WHERE SOURCE IS HISTORICAL</t>
        </is>
      </c>
      <c r="N15" s="2" t="inlineStr">
        <is>
          <t>SRC-WEB-015</t>
        </is>
      </c>
    </row>
    <row r="16">
      <c r="A16" s="2" t="inlineStr">
        <is>
          <t>UAE</t>
        </is>
      </c>
      <c r="B16" s="2" t="inlineStr">
        <is>
          <t>Zulekha Hospital Dubai</t>
        </is>
      </c>
      <c r="C16" s="2" t="inlineStr">
        <is>
          <t>Dubai</t>
        </is>
      </c>
      <c r="D16" s="2" t="inlineStr">
        <is>
          <t>Unknown</t>
        </is>
      </c>
      <c r="E16" s="2" t="inlineStr">
        <is>
          <t>Yes</t>
        </is>
      </c>
      <c r="F16" s="2" t="inlineStr">
        <is>
          <t>Yes</t>
        </is>
      </c>
      <c r="G16" s="2" t="inlineStr"/>
      <c r="H16" s="2" t="inlineStr">
        <is>
          <t>High</t>
        </is>
      </c>
      <c r="I16" s="2" t="inlineStr"/>
      <c r="J16" s="2" t="inlineStr">
        <is>
          <t>DHA facility directory lists Renal Dialysis as a specialty.</t>
        </is>
      </c>
      <c r="K16" s="2" t="inlineStr">
        <is>
          <t>https://services.dha.gov.ae/sheryan/wps/portal/home/medical-directory/facility-details?facilityId=0002544</t>
        </is>
      </c>
      <c r="L16" s="2" t="inlineStr">
        <is>
          <t>OBSERVED</t>
        </is>
      </c>
      <c r="M16" s="2" t="inlineStr">
        <is>
          <t>SOURCE-VERIFIED HD SERVICE; CURRENT STATUS SHOULD BE RECHECKED WHERE SOURCE IS HISTORICAL</t>
        </is>
      </c>
      <c r="N16" s="2" t="inlineStr">
        <is>
          <t>SRC-WEB-016</t>
        </is>
      </c>
    </row>
    <row r="17">
      <c r="A17" s="2" t="inlineStr">
        <is>
          <t>UAE</t>
        </is>
      </c>
      <c r="B17" s="2" t="inlineStr">
        <is>
          <t>Mediclinic Parkview Hospital</t>
        </is>
      </c>
      <c r="C17" s="2" t="inlineStr">
        <is>
          <t>Dubai</t>
        </is>
      </c>
      <c r="D17" s="2" t="inlineStr">
        <is>
          <t>Unknown</t>
        </is>
      </c>
      <c r="E17" s="2" t="inlineStr">
        <is>
          <t>Yes</t>
        </is>
      </c>
      <c r="F17" s="2" t="inlineStr">
        <is>
          <t>Yes</t>
        </is>
      </c>
      <c r="G17" s="2" t="inlineStr"/>
      <c r="H17" s="2" t="inlineStr">
        <is>
          <t>High</t>
        </is>
      </c>
      <c r="I17" s="2" t="inlineStr"/>
      <c r="J17" s="2" t="inlineStr">
        <is>
          <t>DHA facility directory lists Renal Dialysis as a specialty.</t>
        </is>
      </c>
      <c r="K17" s="2" t="inlineStr">
        <is>
          <t>https://services.dha.gov.ae/sheryan/wps/portal/home/medical-directory/facility-details?facilityId=0002476</t>
        </is>
      </c>
      <c r="L17" s="2" t="inlineStr">
        <is>
          <t>OBSERVED</t>
        </is>
      </c>
      <c r="M17" s="2" t="inlineStr">
        <is>
          <t>SOURCE-VERIFIED HD SERVICE; CURRENT STATUS SHOULD BE RECHECKED WHERE SOURCE IS HISTORICAL</t>
        </is>
      </c>
      <c r="N17" s="2" t="inlineStr">
        <is>
          <t>SRC-WEB-017</t>
        </is>
      </c>
    </row>
    <row r="18">
      <c r="A18" s="2" t="inlineStr">
        <is>
          <t>UAE</t>
        </is>
      </c>
      <c r="B18" s="2" t="inlineStr">
        <is>
          <t>NMC Specialty Hospital Al Nadha</t>
        </is>
      </c>
      <c r="C18" s="2" t="inlineStr">
        <is>
          <t>Dubai</t>
        </is>
      </c>
      <c r="D18" s="2" t="inlineStr">
        <is>
          <t>Unknown</t>
        </is>
      </c>
      <c r="E18" s="2" t="inlineStr">
        <is>
          <t>Yes</t>
        </is>
      </c>
      <c r="F18" s="2" t="inlineStr">
        <is>
          <t>Yes</t>
        </is>
      </c>
      <c r="G18" s="2" t="inlineStr"/>
      <c r="H18" s="2" t="inlineStr">
        <is>
          <t>High</t>
        </is>
      </c>
      <c r="I18" s="2" t="inlineStr"/>
      <c r="J18" s="2" t="inlineStr">
        <is>
          <t>DHA facility directory lists Renal Dialysis as a specialty.</t>
        </is>
      </c>
      <c r="K18" s="2" t="inlineStr">
        <is>
          <t>https://services.dha.gov.ae/sheryan/wps/portal/home/medical-directory/facility-details?facilityId=0046789</t>
        </is>
      </c>
      <c r="L18" s="2" t="inlineStr">
        <is>
          <t>OBSERVED</t>
        </is>
      </c>
      <c r="M18" s="2" t="inlineStr">
        <is>
          <t>SOURCE-VERIFIED HD SERVICE; CURRENT STATUS SHOULD BE RECHECKED WHERE SOURCE IS HISTORICAL</t>
        </is>
      </c>
      <c r="N18" s="2" t="inlineStr">
        <is>
          <t>SRC-WEB-018</t>
        </is>
      </c>
    </row>
    <row r="19">
      <c r="A19" s="2" t="inlineStr">
        <is>
          <t>UAE</t>
        </is>
      </c>
      <c r="B19" s="2" t="inlineStr">
        <is>
          <t>Al Mazroui Medical Center</t>
        </is>
      </c>
      <c r="C19" s="2" t="inlineStr">
        <is>
          <t>Abu Dhabi</t>
        </is>
      </c>
      <c r="D19" s="2" t="inlineStr">
        <is>
          <t>Unknown</t>
        </is>
      </c>
      <c r="E19" s="2" t="inlineStr">
        <is>
          <t>Yes</t>
        </is>
      </c>
      <c r="F19" s="2" t="inlineStr">
        <is>
          <t>Yes</t>
        </is>
      </c>
      <c r="G19" s="2" t="inlineStr"/>
      <c r="H19" s="2" t="inlineStr">
        <is>
          <t>Medium</t>
        </is>
      </c>
      <c r="I19" s="2" t="inlineStr"/>
      <c r="J19" s="2" t="inlineStr">
        <is>
          <t>Peer-reviewed UAE home-HD study identifies nephrology &amp; dialysis service at Al Mazroui Medical Center.</t>
        </is>
      </c>
      <c r="K19" s="2" t="inlineStr">
        <is>
          <t>https://pmc.ncbi.nlm.nih.gov/articles/PMC8570984/</t>
        </is>
      </c>
      <c r="L19" s="2" t="inlineStr">
        <is>
          <t>OBSERVED</t>
        </is>
      </c>
      <c r="M19" s="2" t="inlineStr">
        <is>
          <t>SOURCE-VERIFIED HD SERVICE; CURRENT STATUS SHOULD BE RECHECKED WHERE SOURCE IS HISTORICAL</t>
        </is>
      </c>
      <c r="N19" s="2" t="inlineStr">
        <is>
          <t>SRC-WEB-020</t>
        </is>
      </c>
    </row>
    <row r="20">
      <c r="A20" s="2" t="inlineStr">
        <is>
          <t>UAE</t>
        </is>
      </c>
      <c r="B20" s="2" t="inlineStr">
        <is>
          <t>SEHA Dialysis Services - Al Mafraq Hospital</t>
        </is>
      </c>
      <c r="C20" s="2" t="inlineStr">
        <is>
          <t>Abu Dhabi</t>
        </is>
      </c>
      <c r="D20" s="2" t="inlineStr">
        <is>
          <t>Government</t>
        </is>
      </c>
      <c r="E20" s="2" t="inlineStr">
        <is>
          <t>Yes</t>
        </is>
      </c>
      <c r="F20" s="2" t="inlineStr">
        <is>
          <t>Yes</t>
        </is>
      </c>
      <c r="G20" s="2" t="inlineStr"/>
      <c r="H20" s="2" t="inlineStr">
        <is>
          <t>High</t>
        </is>
      </c>
      <c r="I20" s="2" t="inlineStr"/>
      <c r="J20" s="2" t="inlineStr">
        <is>
          <t>Abu Dhabi DoH list explicitly names SEHA Dialysis Services at Al Mafraq Hospital.</t>
        </is>
      </c>
      <c r="K20" s="2" t="inlineStr">
        <is>
          <t>https://www.doh.gov.ae/en/research/authorized-research-institutes-and-cros</t>
        </is>
      </c>
      <c r="L20" s="2" t="inlineStr">
        <is>
          <t>OBSERVED</t>
        </is>
      </c>
      <c r="M20" s="2" t="inlineStr">
        <is>
          <t>SOURCE-VERIFIED HD SERVICE; CURRENT STATUS SHOULD BE RECHECKED WHERE SOURCE IS HISTORICAL</t>
        </is>
      </c>
      <c r="N20" s="2" t="inlineStr">
        <is>
          <t>SRC-WEB-012</t>
        </is>
      </c>
    </row>
    <row r="21">
      <c r="A21" s="2" t="inlineStr">
        <is>
          <t>UAE</t>
        </is>
      </c>
      <c r="B21" s="2" t="inlineStr">
        <is>
          <t>SEHA Dialysis Services - Sheikh Khalifa Medical City</t>
        </is>
      </c>
      <c r="C21" s="2" t="inlineStr">
        <is>
          <t>Abu Dhabi</t>
        </is>
      </c>
      <c r="D21" s="2" t="inlineStr">
        <is>
          <t>Government</t>
        </is>
      </c>
      <c r="E21" s="2" t="inlineStr">
        <is>
          <t>Yes</t>
        </is>
      </c>
      <c r="F21" s="2" t="inlineStr">
        <is>
          <t>Yes</t>
        </is>
      </c>
      <c r="G21" s="2" t="inlineStr"/>
      <c r="H21" s="2" t="inlineStr">
        <is>
          <t>High</t>
        </is>
      </c>
      <c r="I21" s="2" t="inlineStr"/>
      <c r="J21" s="2" t="inlineStr">
        <is>
          <t>Abu Dhabi DoH list explicitly names SEHA Dialysis Services at Sheikh Khalifa Medical City.</t>
        </is>
      </c>
      <c r="K21" s="2" t="inlineStr">
        <is>
          <t>https://www.doh.gov.ae/en/research/authorized-research-institutes-and-cros</t>
        </is>
      </c>
      <c r="L21" s="2" t="inlineStr">
        <is>
          <t>OBSERVED</t>
        </is>
      </c>
      <c r="M21" s="2" t="inlineStr">
        <is>
          <t>SOURCE-VERIFIED HD SERVICE; CURRENT STATUS SHOULD BE RECHECKED WHERE SOURCE IS HISTORICAL</t>
        </is>
      </c>
      <c r="N21" s="2" t="inlineStr">
        <is>
          <t>SRC-WEB-012</t>
        </is>
      </c>
    </row>
    <row r="22">
      <c r="A22" s="2" t="inlineStr">
        <is>
          <t>UAE</t>
        </is>
      </c>
      <c r="B22" s="2" t="inlineStr">
        <is>
          <t>SEHA Dialysis Services - Tawam Hospital</t>
        </is>
      </c>
      <c r="C22" s="2" t="inlineStr">
        <is>
          <t>Al Ain</t>
        </is>
      </c>
      <c r="D22" s="2" t="inlineStr">
        <is>
          <t>Government</t>
        </is>
      </c>
      <c r="E22" s="2" t="inlineStr">
        <is>
          <t>Yes</t>
        </is>
      </c>
      <c r="F22" s="2" t="inlineStr">
        <is>
          <t>Yes</t>
        </is>
      </c>
      <c r="G22" s="2" t="inlineStr"/>
      <c r="H22" s="2" t="inlineStr">
        <is>
          <t>High</t>
        </is>
      </c>
      <c r="I22" s="2" t="inlineStr"/>
      <c r="J22" s="2" t="inlineStr">
        <is>
          <t>Abu Dhabi DoH list explicitly names SEHA Dialysis Services at Tawam Hospital.</t>
        </is>
      </c>
      <c r="K22" s="2" t="inlineStr">
        <is>
          <t>https://www.doh.gov.ae/en/research/authorized-research-institutes-and-cros</t>
        </is>
      </c>
      <c r="L22" s="2" t="inlineStr">
        <is>
          <t>OBSERVED</t>
        </is>
      </c>
      <c r="M22" s="2" t="inlineStr">
        <is>
          <t>SOURCE-VERIFIED HD SERVICE; CURRENT STATUS SHOULD BE RECHECKED WHERE SOURCE IS HISTORICAL</t>
        </is>
      </c>
      <c r="N22" s="2" t="inlineStr">
        <is>
          <t>SRC-WEB-012</t>
        </is>
      </c>
    </row>
    <row r="23">
      <c r="A23" s="2" t="inlineStr">
        <is>
          <t>UAE</t>
        </is>
      </c>
      <c r="B23" s="2" t="inlineStr">
        <is>
          <t>SEHA Dialysis Services - Al Wagan Hospital</t>
        </is>
      </c>
      <c r="C23" s="2" t="inlineStr">
        <is>
          <t>Al Wagan</t>
        </is>
      </c>
      <c r="D23" s="2" t="inlineStr">
        <is>
          <t>Government</t>
        </is>
      </c>
      <c r="E23" s="2" t="inlineStr">
        <is>
          <t>Yes</t>
        </is>
      </c>
      <c r="F23" s="2" t="inlineStr">
        <is>
          <t>Yes</t>
        </is>
      </c>
      <c r="G23" s="2" t="inlineStr"/>
      <c r="H23" s="2" t="inlineStr">
        <is>
          <t>Medium</t>
        </is>
      </c>
      <c r="I23" s="2" t="inlineStr"/>
      <c r="J23" s="2" t="inlineStr">
        <is>
          <t>Abu Dhabi DoH list explicitly names SEHA Dialysis Services at Al Wagan Hospital.</t>
        </is>
      </c>
      <c r="K23" s="2" t="inlineStr">
        <is>
          <t>https://www.doh.gov.ae/en/research/authorized-research-institutes-and-cros</t>
        </is>
      </c>
      <c r="L23" s="2" t="inlineStr">
        <is>
          <t>OBSERVED</t>
        </is>
      </c>
      <c r="M23" s="2" t="inlineStr">
        <is>
          <t>SOURCE-VERIFIED HD SERVICE; CURRENT STATUS SHOULD BE RECHECKED WHERE SOURCE IS HISTORICAL</t>
        </is>
      </c>
      <c r="N23" s="2" t="inlineStr">
        <is>
          <t>SRC-WEB-012</t>
        </is>
      </c>
    </row>
    <row r="24">
      <c r="A24" s="2" t="inlineStr">
        <is>
          <t>Qatar</t>
        </is>
      </c>
      <c r="B24" s="2" t="inlineStr">
        <is>
          <t>Fahad Bin Jassim Kidney Center</t>
        </is>
      </c>
      <c r="C24" s="2" t="inlineStr">
        <is>
          <t>Doha</t>
        </is>
      </c>
      <c r="D24" s="2" t="inlineStr">
        <is>
          <t>Government</t>
        </is>
      </c>
      <c r="E24" s="2" t="inlineStr">
        <is>
          <t>Yes</t>
        </is>
      </c>
      <c r="F24" s="2" t="inlineStr">
        <is>
          <t>Yes</t>
        </is>
      </c>
      <c r="G24" s="2" t="inlineStr"/>
      <c r="H24" s="2" t="inlineStr">
        <is>
          <t>High</t>
        </is>
      </c>
      <c r="I24" s="2" t="inlineStr"/>
      <c r="J24" s="2" t="inlineStr">
        <is>
          <t>2021 study reports 92 stations, 3 shifts/day and 52% of Qatar outpatient dialysis volume.</t>
        </is>
      </c>
      <c r="K24" s="2" t="inlineStr">
        <is>
          <t>https://pmc.ncbi.nlm.nih.gov/articles/PMC11102569/</t>
        </is>
      </c>
      <c r="L24" s="2" t="inlineStr">
        <is>
          <t>OBSERVED</t>
        </is>
      </c>
      <c r="M24" s="2" t="inlineStr">
        <is>
          <t>SOURCE-VERIFIED HD SERVICE; CURRENT STATUS SHOULD BE RECHECKED WHERE SOURCE IS HISTORICAL</t>
        </is>
      </c>
      <c r="N24" s="2" t="inlineStr">
        <is>
          <t>SRC-WEB-024</t>
        </is>
      </c>
    </row>
    <row r="25">
      <c r="A25" s="2" t="inlineStr">
        <is>
          <t>Qatar</t>
        </is>
      </c>
      <c r="B25" s="2" t="inlineStr">
        <is>
          <t>Al Khor Hospital Dialysis Unit</t>
        </is>
      </c>
      <c r="C25" s="2" t="inlineStr">
        <is>
          <t>Al Khor</t>
        </is>
      </c>
      <c r="D25" s="2" t="inlineStr">
        <is>
          <t>Government</t>
        </is>
      </c>
      <c r="E25" s="2" t="inlineStr">
        <is>
          <t>Yes</t>
        </is>
      </c>
      <c r="F25" s="2" t="inlineStr">
        <is>
          <t>Yes</t>
        </is>
      </c>
      <c r="G25" s="2" t="inlineStr"/>
      <c r="H25" s="2" t="inlineStr">
        <is>
          <t>High</t>
        </is>
      </c>
      <c r="I25" s="2" t="inlineStr"/>
      <c r="J25" s="2" t="inlineStr">
        <is>
          <t>HMC reports 22 hemodialysis stations; a 2021 peer-reviewed study reported 23 total dialysis stations. The current official HMC figure is retained as stronger evidence.</t>
        </is>
      </c>
      <c r="K25" s="2" t="inlineStr">
        <is>
          <t>https://hamad.qa/EN/Hospitals-and-services/Al-Khor-Hospital/Hospital%20Services/Clinical%20Departments/Pages/Nephrology-and-Dialysis-Department.aspx;https://pmc.ncbi.nlm.nih.gov/articles/PMC11102569/</t>
        </is>
      </c>
      <c r="L25" s="2" t="inlineStr">
        <is>
          <t>OBSERVED</t>
        </is>
      </c>
      <c r="M25" s="2" t="inlineStr">
        <is>
          <t>SOURCE-VERIFIED HD SERVICE; CURRENT STATUS SHOULD BE RECHECKED WHERE SOURCE IS HISTORICAL</t>
        </is>
      </c>
      <c r="N25" s="2" t="inlineStr">
        <is>
          <t>SRC-WEB-022;SRC-WEB-024</t>
        </is>
      </c>
    </row>
    <row r="26">
      <c r="A26" s="2" t="inlineStr">
        <is>
          <t>Qatar</t>
        </is>
      </c>
      <c r="B26" s="2" t="inlineStr">
        <is>
          <t>Al Wakra Hospital Dialysis Unit</t>
        </is>
      </c>
      <c r="C26" s="2" t="inlineStr">
        <is>
          <t>Al Wakrah</t>
        </is>
      </c>
      <c r="D26" s="2" t="inlineStr">
        <is>
          <t>Government</t>
        </is>
      </c>
      <c r="E26" s="2" t="inlineStr">
        <is>
          <t>Yes</t>
        </is>
      </c>
      <c r="F26" s="2" t="inlineStr">
        <is>
          <t>Yes</t>
        </is>
      </c>
      <c r="G26" s="2" t="inlineStr"/>
      <c r="H26" s="2" t="inlineStr">
        <is>
          <t>High</t>
        </is>
      </c>
      <c r="I26" s="2" t="inlineStr"/>
      <c r="J26" s="2" t="inlineStr">
        <is>
          <t>2021 study reports 18 stations and 3 shifts/day; HMC confirms hemodialysis service.</t>
        </is>
      </c>
      <c r="K26" s="2" t="inlineStr">
        <is>
          <t>https://hamad.qa/EN/Hospitals-and-services/Hamad-General-Hospital/Pages/Dialysis-Division.aspx;https://pmc.ncbi.nlm.nih.gov/articles/PMC11102569/</t>
        </is>
      </c>
      <c r="L26" s="2" t="inlineStr">
        <is>
          <t>OBSERVED</t>
        </is>
      </c>
      <c r="M26" s="2" t="inlineStr">
        <is>
          <t>SOURCE-VERIFIED HD SERVICE; CURRENT STATUS SHOULD BE RECHECKED WHERE SOURCE IS HISTORICAL</t>
        </is>
      </c>
      <c r="N26" s="2" t="inlineStr">
        <is>
          <t>SRC-WEB-021;SRC-WEB-024</t>
        </is>
      </c>
    </row>
    <row r="27">
      <c r="A27" s="2" t="inlineStr">
        <is>
          <t>Kuwait</t>
        </is>
      </c>
      <c r="B27" s="2" t="inlineStr">
        <is>
          <t>Amiri Hospital</t>
        </is>
      </c>
      <c r="C27" s="2" t="inlineStr">
        <is>
          <t>Kuwait City</t>
        </is>
      </c>
      <c r="D27" s="2" t="inlineStr">
        <is>
          <t>Government</t>
        </is>
      </c>
      <c r="E27" s="2" t="inlineStr">
        <is>
          <t>Yes</t>
        </is>
      </c>
      <c r="F27" s="2" t="inlineStr">
        <is>
          <t>Yes</t>
        </is>
      </c>
      <c r="G27" s="2" t="inlineStr"/>
      <c r="H27" s="2" t="inlineStr">
        <is>
          <t>High</t>
        </is>
      </c>
      <c r="I27" s="2" t="inlineStr"/>
      <c r="J27" s="2" t="inlineStr">
        <is>
          <t>Kuwait review identifies Amiri as an MOH HD hospital with one large and two small satellite units; 2025 study includes Amiri among seven MOH hospitals providing dialysis.</t>
        </is>
      </c>
      <c r="K27" s="2" t="inlineStr">
        <is>
          <t>https://pmc.ncbi.nlm.nih.gov/articles/PMC8791361/;https://pmc.ncbi.nlm.nih.gov/articles/PMC12133130/</t>
        </is>
      </c>
      <c r="L27" s="2" t="inlineStr">
        <is>
          <t>OBSERVED</t>
        </is>
      </c>
      <c r="M27" s="2" t="inlineStr">
        <is>
          <t>SOURCE-VERIFIED HD SERVICE; CURRENT STATUS SHOULD BE RECHECKED WHERE SOURCE IS HISTORICAL</t>
        </is>
      </c>
      <c r="N27" s="2" t="inlineStr">
        <is>
          <t>SRC-WEB-027;SRC-WEB-028</t>
        </is>
      </c>
    </row>
    <row r="28">
      <c r="A28" s="2" t="inlineStr">
        <is>
          <t>Kuwait</t>
        </is>
      </c>
      <c r="B28" s="2" t="inlineStr">
        <is>
          <t>Mubarak Hospital</t>
        </is>
      </c>
      <c r="C28" s="2" t="inlineStr">
        <is>
          <t>Jabriya</t>
        </is>
      </c>
      <c r="D28" s="2" t="inlineStr">
        <is>
          <t>Government</t>
        </is>
      </c>
      <c r="E28" s="2" t="inlineStr">
        <is>
          <t>Yes</t>
        </is>
      </c>
      <c r="F28" s="2" t="inlineStr">
        <is>
          <t>Yes</t>
        </is>
      </c>
      <c r="G28" s="2" t="inlineStr"/>
      <c r="H28" s="2" t="inlineStr">
        <is>
          <t>High</t>
        </is>
      </c>
      <c r="I28" s="2" t="inlineStr"/>
      <c r="J28" s="2" t="inlineStr">
        <is>
          <t>Kuwait review and 2025 study confirm HD/acute dialysis services.</t>
        </is>
      </c>
      <c r="K28" s="2" t="inlineStr">
        <is>
          <t>https://pmc.ncbi.nlm.nih.gov/articles/PMC8791361/;https://pmc.ncbi.nlm.nih.gov/articles/PMC12133130/</t>
        </is>
      </c>
      <c r="L28" s="2" t="inlineStr">
        <is>
          <t>OBSERVED</t>
        </is>
      </c>
      <c r="M28" s="2" t="inlineStr">
        <is>
          <t>SOURCE-VERIFIED HD SERVICE; CURRENT STATUS SHOULD BE RECHECKED WHERE SOURCE IS HISTORICAL</t>
        </is>
      </c>
      <c r="N28" s="2" t="inlineStr">
        <is>
          <t>SRC-WEB-027;SRC-WEB-028</t>
        </is>
      </c>
    </row>
    <row r="29">
      <c r="A29" s="2" t="inlineStr">
        <is>
          <t>Kuwait</t>
        </is>
      </c>
      <c r="B29" s="2" t="inlineStr">
        <is>
          <t>Jahra Hospital</t>
        </is>
      </c>
      <c r="C29" s="2" t="inlineStr">
        <is>
          <t>Al Jahra</t>
        </is>
      </c>
      <c r="D29" s="2" t="inlineStr">
        <is>
          <t>Government</t>
        </is>
      </c>
      <c r="E29" s="2" t="inlineStr">
        <is>
          <t>Yes</t>
        </is>
      </c>
      <c r="F29" s="2" t="inlineStr">
        <is>
          <t>Yes</t>
        </is>
      </c>
      <c r="G29" s="2" t="inlineStr"/>
      <c r="H29" s="2" t="inlineStr">
        <is>
          <t>High</t>
        </is>
      </c>
      <c r="I29" s="2" t="inlineStr"/>
      <c r="J29" s="2" t="inlineStr">
        <is>
          <t>Kuwait review and 2025 study confirm HD/acute dialysis services and vascular access procedures.</t>
        </is>
      </c>
      <c r="K29" s="2" t="inlineStr">
        <is>
          <t>https://pmc.ncbi.nlm.nih.gov/articles/PMC8791361/;https://pmc.ncbi.nlm.nih.gov/articles/PMC12133130/</t>
        </is>
      </c>
      <c r="L29" s="2" t="inlineStr">
        <is>
          <t>OBSERVED</t>
        </is>
      </c>
      <c r="M29" s="2" t="inlineStr">
        <is>
          <t>SOURCE-VERIFIED HD SERVICE; CURRENT STATUS SHOULD BE RECHECKED WHERE SOURCE IS HISTORICAL</t>
        </is>
      </c>
      <c r="N29" s="2" t="inlineStr">
        <is>
          <t>SRC-WEB-027;SRC-WEB-028</t>
        </is>
      </c>
    </row>
    <row r="30">
      <c r="A30" s="2" t="inlineStr">
        <is>
          <t>Kuwait</t>
        </is>
      </c>
      <c r="B30" s="2" t="inlineStr">
        <is>
          <t>Al-Adan Hospital / Al Khozam Dialysis Unit</t>
        </is>
      </c>
      <c r="C30" s="2" t="inlineStr">
        <is>
          <t>Hadiya</t>
        </is>
      </c>
      <c r="D30" s="2" t="inlineStr">
        <is>
          <t>Government</t>
        </is>
      </c>
      <c r="E30" s="2" t="inlineStr">
        <is>
          <t>Yes</t>
        </is>
      </c>
      <c r="F30" s="2" t="inlineStr">
        <is>
          <t>Yes</t>
        </is>
      </c>
      <c r="G30" s="2" t="inlineStr"/>
      <c r="H30" s="2" t="inlineStr">
        <is>
          <t>Medium</t>
        </is>
      </c>
      <c r="I30" s="2" t="inlineStr"/>
      <c r="J30" s="2" t="inlineStr">
        <is>
          <t>Al Khozam outpatient dialysis unit at Al-Adan Hospital has 60 HD beds and 8 PD beds; beds are not treated as stations.</t>
        </is>
      </c>
      <c r="K30" s="2" t="inlineStr">
        <is>
          <t>https://pmc.ncbi.nlm.nih.gov/articles/PMC8791361/;https://pmc.ncbi.nlm.nih.gov/articles/PMC12133130/;https://pmc.ncbi.nlm.nih.gov/articles/PMC6170898/</t>
        </is>
      </c>
      <c r="L30" s="2" t="inlineStr">
        <is>
          <t>OBSERVED</t>
        </is>
      </c>
      <c r="M30" s="2" t="inlineStr">
        <is>
          <t>SOURCE-VERIFIED HD SERVICE; CURRENT STATUS SHOULD BE RECHECKED WHERE SOURCE IS HISTORICAL</t>
        </is>
      </c>
      <c r="N30" s="2" t="inlineStr">
        <is>
          <t>SRC-WEB-027;SRC-WEB-028;SRC-WEB-029</t>
        </is>
      </c>
    </row>
    <row r="31">
      <c r="A31" s="2" t="inlineStr">
        <is>
          <t>Kuwait</t>
        </is>
      </c>
      <c r="B31" s="2" t="inlineStr">
        <is>
          <t>Farwaniya Hospital</t>
        </is>
      </c>
      <c r="C31" s="2" t="inlineStr">
        <is>
          <t>Sabah Al Nasser</t>
        </is>
      </c>
      <c r="D31" s="2" t="inlineStr">
        <is>
          <t>Government</t>
        </is>
      </c>
      <c r="E31" s="2" t="inlineStr">
        <is>
          <t>Yes</t>
        </is>
      </c>
      <c r="F31" s="2" t="inlineStr">
        <is>
          <t>Yes</t>
        </is>
      </c>
      <c r="G31" s="2" t="inlineStr"/>
      <c r="H31" s="2" t="inlineStr">
        <is>
          <t>High</t>
        </is>
      </c>
      <c r="I31" s="2" t="inlineStr"/>
      <c r="J31" s="2" t="inlineStr">
        <is>
          <t>2025 multicenter study identifies Division of Nephrology at Farwaniya Hospital and dialysis care.</t>
        </is>
      </c>
      <c r="K31" s="2" t="inlineStr">
        <is>
          <t>https://pmc.ncbi.nlm.nih.gov/articles/PMC12133130/</t>
        </is>
      </c>
      <c r="L31" s="2" t="inlineStr">
        <is>
          <t>OBSERVED</t>
        </is>
      </c>
      <c r="M31" s="2" t="inlineStr">
        <is>
          <t>SOURCE-VERIFIED HD SERVICE; CURRENT STATUS SHOULD BE RECHECKED WHERE SOURCE IS HISTORICAL</t>
        </is>
      </c>
      <c r="N31" s="2" t="inlineStr">
        <is>
          <t>SRC-WEB-028</t>
        </is>
      </c>
    </row>
    <row r="32">
      <c r="A32" s="2" t="inlineStr">
        <is>
          <t>Kuwait</t>
        </is>
      </c>
      <c r="B32" s="2" t="inlineStr">
        <is>
          <t>Jaber Hospital</t>
        </is>
      </c>
      <c r="C32" s="2" t="inlineStr">
        <is>
          <t>Kuwait City</t>
        </is>
      </c>
      <c r="D32" s="2" t="inlineStr">
        <is>
          <t>Government</t>
        </is>
      </c>
      <c r="E32" s="2" t="inlineStr">
        <is>
          <t>Yes</t>
        </is>
      </c>
      <c r="F32" s="2" t="inlineStr">
        <is>
          <t>Yes</t>
        </is>
      </c>
      <c r="G32" s="2" t="inlineStr"/>
      <c r="H32" s="2" t="inlineStr">
        <is>
          <t>High</t>
        </is>
      </c>
      <c r="I32" s="2" t="inlineStr"/>
      <c r="J32" s="2" t="inlineStr">
        <is>
          <t>2025 multicenter study identifies Division of Nephrology at Jaber Hospital and dialysis care.</t>
        </is>
      </c>
      <c r="K32" s="2" t="inlineStr">
        <is>
          <t>https://pmc.ncbi.nlm.nih.gov/articles/PMC12133130/</t>
        </is>
      </c>
      <c r="L32" s="2" t="inlineStr">
        <is>
          <t>OBSERVED</t>
        </is>
      </c>
      <c r="M32" s="2" t="inlineStr">
        <is>
          <t>SOURCE-VERIFIED HD SERVICE; CURRENT STATUS SHOULD BE RECHECKED WHERE SOURCE IS HISTORICAL</t>
        </is>
      </c>
      <c r="N32" s="2" t="inlineStr">
        <is>
          <t>SRC-WEB-028</t>
        </is>
      </c>
    </row>
    <row r="33">
      <c r="A33" s="2" t="inlineStr">
        <is>
          <t>Kuwait</t>
        </is>
      </c>
      <c r="B33" s="2" t="inlineStr">
        <is>
          <t>Chest Diseases Hospital</t>
        </is>
      </c>
      <c r="C33" s="2" t="inlineStr">
        <is>
          <t>Kuwait City</t>
        </is>
      </c>
      <c r="D33" s="2" t="inlineStr">
        <is>
          <t>Government</t>
        </is>
      </c>
      <c r="E33" s="2" t="inlineStr">
        <is>
          <t>Yes</t>
        </is>
      </c>
      <c r="F33" s="2" t="inlineStr">
        <is>
          <t>Yes</t>
        </is>
      </c>
      <c r="G33" s="2" t="inlineStr"/>
      <c r="H33" s="2" t="inlineStr">
        <is>
          <t>Medium</t>
        </is>
      </c>
      <c r="I33" s="2" t="inlineStr"/>
      <c r="J33" s="2" t="inlineStr">
        <is>
          <t>2025 multicenter study includes Chest Diseases Hospital in the seven-hospital MOH dialysis study.</t>
        </is>
      </c>
      <c r="K33" s="2" t="inlineStr">
        <is>
          <t>https://pmc.ncbi.nlm.nih.gov/articles/PMC12133130/</t>
        </is>
      </c>
      <c r="L33" s="2" t="inlineStr">
        <is>
          <t>OBSERVED</t>
        </is>
      </c>
      <c r="M33" s="2" t="inlineStr">
        <is>
          <t>SOURCE-VERIFIED HD SERVICE; CURRENT STATUS SHOULD BE RECHECKED WHERE SOURCE IS HISTORICAL</t>
        </is>
      </c>
      <c r="N33" s="2" t="inlineStr">
        <is>
          <t>SRC-WEB-028</t>
        </is>
      </c>
    </row>
    <row r="34">
      <c r="A34" s="2" t="inlineStr">
        <is>
          <t>Kuwait</t>
        </is>
      </c>
      <c r="B34" s="2" t="inlineStr">
        <is>
          <t>Kuwait Ministry of Defense Hospital</t>
        </is>
      </c>
      <c r="C34" s="2" t="inlineStr">
        <is>
          <t>Kuwait City</t>
        </is>
      </c>
      <c r="D34" s="2" t="inlineStr">
        <is>
          <t>Military</t>
        </is>
      </c>
      <c r="E34" s="2" t="inlineStr">
        <is>
          <t>Yes</t>
        </is>
      </c>
      <c r="F34" s="2" t="inlineStr">
        <is>
          <t>Yes</t>
        </is>
      </c>
      <c r="G34" s="2" t="inlineStr"/>
      <c r="H34" s="2" t="inlineStr">
        <is>
          <t>High</t>
        </is>
      </c>
      <c r="I34" s="2" t="inlineStr"/>
      <c r="J34" s="2" t="inlineStr">
        <is>
          <t>Kuwait review states military hospital provides chronic and acute HD for Ministry of Defense personnel and families; no PD.</t>
        </is>
      </c>
      <c r="K34" s="2" t="inlineStr">
        <is>
          <t>https://pmc.ncbi.nlm.nih.gov/articles/PMC8791361/</t>
        </is>
      </c>
      <c r="L34" s="2" t="inlineStr">
        <is>
          <t>OBSERVED</t>
        </is>
      </c>
      <c r="M34" s="2" t="inlineStr">
        <is>
          <t>SOURCE-VERIFIED HD SERVICE; CURRENT STATUS SHOULD BE RECHECKED WHERE SOURCE IS HISTORICAL</t>
        </is>
      </c>
      <c r="N34" s="2" t="inlineStr">
        <is>
          <t>SRC-WEB-027</t>
        </is>
      </c>
    </row>
    <row r="35">
      <c r="A35" s="2" t="inlineStr">
        <is>
          <t>Kuwait</t>
        </is>
      </c>
      <c r="B35" s="2" t="inlineStr">
        <is>
          <t>Kuwait Oil Company Hospital</t>
        </is>
      </c>
      <c r="C35" s="2" t="inlineStr">
        <is>
          <t>Ahmadi</t>
        </is>
      </c>
      <c r="D35" s="2" t="inlineStr">
        <is>
          <t>Government</t>
        </is>
      </c>
      <c r="E35" s="2" t="inlineStr">
        <is>
          <t>Yes</t>
        </is>
      </c>
      <c r="F35" s="2" t="inlineStr">
        <is>
          <t>Yes</t>
        </is>
      </c>
      <c r="G35" s="2" t="inlineStr"/>
      <c r="H35" s="2" t="inlineStr">
        <is>
          <t>Medium</t>
        </is>
      </c>
      <c r="I35" s="2" t="inlineStr"/>
      <c r="J35" s="2" t="inlineStr">
        <is>
          <t>Kuwait review states KOC hospital provides free outpatient and acute dialysis services for company employees/families; no chronic HD.</t>
        </is>
      </c>
      <c r="K35" s="2" t="inlineStr">
        <is>
          <t>https://pmc.ncbi.nlm.nih.gov/articles/PMC8791361/</t>
        </is>
      </c>
      <c r="L35" s="2" t="inlineStr">
        <is>
          <t>OBSERVED</t>
        </is>
      </c>
      <c r="M35" s="2" t="inlineStr">
        <is>
          <t>SOURCE-VERIFIED HD SERVICE; CURRENT STATUS SHOULD BE RECHECKED WHERE SOURCE IS HISTORICAL</t>
        </is>
      </c>
      <c r="N35" s="2" t="inlineStr">
        <is>
          <t>SRC-WEB-027</t>
        </is>
      </c>
    </row>
    <row r="36">
      <c r="A36" s="2" t="inlineStr">
        <is>
          <t>Oman</t>
        </is>
      </c>
      <c r="B36" s="2" t="inlineStr">
        <is>
          <t>Sultan Qaboos University Hospital</t>
        </is>
      </c>
      <c r="C36" s="2" t="inlineStr">
        <is>
          <t>Muscat</t>
        </is>
      </c>
      <c r="D36" s="2" t="inlineStr">
        <is>
          <t>University</t>
        </is>
      </c>
      <c r="E36" s="2" t="inlineStr">
        <is>
          <t>Yes</t>
        </is>
      </c>
      <c r="F36" s="2" t="inlineStr">
        <is>
          <t>Yes</t>
        </is>
      </c>
      <c r="G36" s="2" t="inlineStr"/>
      <c r="H36" s="2" t="inlineStr">
        <is>
          <t>Medium</t>
        </is>
      </c>
      <c r="I36" s="2" t="inlineStr"/>
      <c r="J36" s="2" t="inlineStr">
        <is>
          <t>Historical 2013 dialysis facility; current status should be rechecked.</t>
        </is>
      </c>
      <c r="K36" s="2" t="inlineStr">
        <is>
          <t>https://pmc.ncbi.nlm.nih.gov/articles/PMC5678924/</t>
        </is>
      </c>
      <c r="L36" s="2" t="inlineStr">
        <is>
          <t>OBSERVED</t>
        </is>
      </c>
      <c r="M36" s="2" t="inlineStr">
        <is>
          <t>SOURCE-VERIFIED HD SERVICE; CURRENT STATUS SHOULD BE RECHECKED WHERE SOURCE IS HISTORICAL</t>
        </is>
      </c>
      <c r="N36" s="2" t="inlineStr">
        <is>
          <t>SRC-WEB-030</t>
        </is>
      </c>
    </row>
    <row r="37">
      <c r="A37" s="2" t="inlineStr">
        <is>
          <t>Oman</t>
        </is>
      </c>
      <c r="B37" s="2" t="inlineStr">
        <is>
          <t>Royal Hospital</t>
        </is>
      </c>
      <c r="C37" s="2" t="inlineStr">
        <is>
          <t>Muscat</t>
        </is>
      </c>
      <c r="D37" s="2" t="inlineStr">
        <is>
          <t>Government</t>
        </is>
      </c>
      <c r="E37" s="2" t="inlineStr">
        <is>
          <t>Yes</t>
        </is>
      </c>
      <c r="F37" s="2" t="inlineStr">
        <is>
          <t>Yes</t>
        </is>
      </c>
      <c r="G37" s="2" t="inlineStr"/>
      <c r="H37" s="2" t="inlineStr">
        <is>
          <t>Medium</t>
        </is>
      </c>
      <c r="I37" s="2" t="inlineStr"/>
      <c r="J37" s="2" t="inlineStr">
        <is>
          <t>Historical 2013 dialysis facility; current status should be rechecked.</t>
        </is>
      </c>
      <c r="K37" s="2" t="inlineStr">
        <is>
          <t>https://pmc.ncbi.nlm.nih.gov/articles/PMC5678924/</t>
        </is>
      </c>
      <c r="L37" s="2" t="inlineStr">
        <is>
          <t>OBSERVED</t>
        </is>
      </c>
      <c r="M37" s="2" t="inlineStr">
        <is>
          <t>SOURCE-VERIFIED HD SERVICE; CURRENT STATUS SHOULD BE RECHECKED WHERE SOURCE IS HISTORICAL</t>
        </is>
      </c>
      <c r="N37" s="2" t="inlineStr">
        <is>
          <t>SRC-WEB-030</t>
        </is>
      </c>
    </row>
    <row r="38">
      <c r="A38" s="2" t="inlineStr">
        <is>
          <t>Oman</t>
        </is>
      </c>
      <c r="B38" s="2" t="inlineStr">
        <is>
          <t>Sohar Hospital</t>
        </is>
      </c>
      <c r="C38" s="2" t="inlineStr">
        <is>
          <t>Sohar</t>
        </is>
      </c>
      <c r="D38" s="2" t="inlineStr">
        <is>
          <t>Government</t>
        </is>
      </c>
      <c r="E38" s="2" t="inlineStr">
        <is>
          <t>Yes</t>
        </is>
      </c>
      <c r="F38" s="2" t="inlineStr">
        <is>
          <t>Yes</t>
        </is>
      </c>
      <c r="G38" s="2" t="inlineStr"/>
      <c r="H38" s="2" t="inlineStr">
        <is>
          <t>High</t>
        </is>
      </c>
      <c r="I38" s="2" t="inlineStr"/>
      <c r="J38" s="2" t="inlineStr">
        <is>
          <t>Named in Oman dialysis studies.</t>
        </is>
      </c>
      <c r="K38" s="2" t="inlineStr">
        <is>
          <t>https://pmc.ncbi.nlm.nih.gov/articles/PMC5678924/;https://pmc.ncbi.nlm.nih.gov/articles/PMC10686920/</t>
        </is>
      </c>
      <c r="L38" s="2" t="inlineStr">
        <is>
          <t>OBSERVED</t>
        </is>
      </c>
      <c r="M38" s="2" t="inlineStr">
        <is>
          <t>SOURCE-VERIFIED HD SERVICE; CURRENT STATUS SHOULD BE RECHECKED WHERE SOURCE IS HISTORICAL</t>
        </is>
      </c>
      <c r="N38" s="2" t="inlineStr">
        <is>
          <t>SRC-WEB-030;SRC-WEB-031</t>
        </is>
      </c>
    </row>
    <row r="39">
      <c r="A39" s="2" t="inlineStr">
        <is>
          <t>Oman</t>
        </is>
      </c>
      <c r="B39" s="2" t="inlineStr">
        <is>
          <t>Sultan Qaboos Hospital, Salalah</t>
        </is>
      </c>
      <c r="C39" s="2" t="inlineStr">
        <is>
          <t>Salalah</t>
        </is>
      </c>
      <c r="D39" s="2" t="inlineStr">
        <is>
          <t>Government</t>
        </is>
      </c>
      <c r="E39" s="2" t="inlineStr">
        <is>
          <t>Yes</t>
        </is>
      </c>
      <c r="F39" s="2" t="inlineStr">
        <is>
          <t>Yes</t>
        </is>
      </c>
      <c r="G39" s="2" t="inlineStr"/>
      <c r="H39" s="2" t="inlineStr">
        <is>
          <t>Medium</t>
        </is>
      </c>
      <c r="I39" s="2" t="inlineStr"/>
      <c r="J39" s="2" t="inlineStr">
        <is>
          <t>Historical 2013 dialysis facility; current status should be rechecked.</t>
        </is>
      </c>
      <c r="K39" s="2" t="inlineStr">
        <is>
          <t>https://pmc.ncbi.nlm.nih.gov/articles/PMC5678924/</t>
        </is>
      </c>
      <c r="L39" s="2" t="inlineStr">
        <is>
          <t>OBSERVED</t>
        </is>
      </c>
      <c r="M39" s="2" t="inlineStr">
        <is>
          <t>SOURCE-VERIFIED HD SERVICE; CURRENT STATUS SHOULD BE RECHECKED WHERE SOURCE IS HISTORICAL</t>
        </is>
      </c>
      <c r="N39" s="2" t="inlineStr">
        <is>
          <t>SRC-WEB-030</t>
        </is>
      </c>
    </row>
    <row r="40">
      <c r="A40" s="2" t="inlineStr">
        <is>
          <t>Oman</t>
        </is>
      </c>
      <c r="B40" s="2" t="inlineStr">
        <is>
          <t>Ibra Hospital</t>
        </is>
      </c>
      <c r="C40" s="2" t="inlineStr">
        <is>
          <t>Ibra</t>
        </is>
      </c>
      <c r="D40" s="2" t="inlineStr">
        <is>
          <t>Government</t>
        </is>
      </c>
      <c r="E40" s="2" t="inlineStr">
        <is>
          <t>Yes</t>
        </is>
      </c>
      <c r="F40" s="2" t="inlineStr">
        <is>
          <t>Yes</t>
        </is>
      </c>
      <c r="G40" s="2" t="inlineStr"/>
      <c r="H40" s="2" t="inlineStr">
        <is>
          <t>Medium</t>
        </is>
      </c>
      <c r="I40" s="2" t="inlineStr"/>
      <c r="J40" s="2" t="inlineStr">
        <is>
          <t>MOH page lists renal dialysis unit; national study includes Ibra Hospital.</t>
        </is>
      </c>
      <c r="K40" s="2" t="inlineStr">
        <is>
          <t>https://moh.gov.om/en/hospitals-directorates/hospitals/ibra-hospital/;https://pmc.ncbi.nlm.nih.gov/articles/PMC10686920/</t>
        </is>
      </c>
      <c r="L40" s="2" t="inlineStr">
        <is>
          <t>OBSERVED</t>
        </is>
      </c>
      <c r="M40" s="2" t="inlineStr">
        <is>
          <t>SOURCE-VERIFIED HD SERVICE; CURRENT STATUS SHOULD BE RECHECKED WHERE SOURCE IS HISTORICAL</t>
        </is>
      </c>
      <c r="N40" s="2" t="inlineStr">
        <is>
          <t>SRC-WEB-034;SRC-WEB-031</t>
        </is>
      </c>
    </row>
    <row r="41">
      <c r="A41" s="2" t="inlineStr">
        <is>
          <t>Oman</t>
        </is>
      </c>
      <c r="B41" s="2" t="inlineStr">
        <is>
          <t>Ibri Hospital</t>
        </is>
      </c>
      <c r="C41" s="2" t="inlineStr">
        <is>
          <t>Ibri</t>
        </is>
      </c>
      <c r="D41" s="2" t="inlineStr">
        <is>
          <t>Government</t>
        </is>
      </c>
      <c r="E41" s="2" t="inlineStr">
        <is>
          <t>Yes</t>
        </is>
      </c>
      <c r="F41" s="2" t="inlineStr">
        <is>
          <t>Yes</t>
        </is>
      </c>
      <c r="G41" s="2" t="inlineStr"/>
      <c r="H41" s="2" t="inlineStr">
        <is>
          <t>Medium</t>
        </is>
      </c>
      <c r="I41" s="2" t="inlineStr"/>
      <c r="J41" s="2" t="inlineStr">
        <is>
          <t>Historical 2013 dialysis facility; current status should be rechecked.</t>
        </is>
      </c>
      <c r="K41" s="2" t="inlineStr">
        <is>
          <t>https://pmc.ncbi.nlm.nih.gov/articles/PMC5678924/</t>
        </is>
      </c>
      <c r="L41" s="2" t="inlineStr">
        <is>
          <t>OBSERVED</t>
        </is>
      </c>
      <c r="M41" s="2" t="inlineStr">
        <is>
          <t>SOURCE-VERIFIED HD SERVICE; CURRENT STATUS SHOULD BE RECHECKED WHERE SOURCE IS HISTORICAL</t>
        </is>
      </c>
      <c r="N41" s="2" t="inlineStr">
        <is>
          <t>SRC-WEB-030</t>
        </is>
      </c>
    </row>
    <row r="42">
      <c r="A42" s="2" t="inlineStr">
        <is>
          <t>Oman</t>
        </is>
      </c>
      <c r="B42" s="2" t="inlineStr">
        <is>
          <t>Rustaq Hospital</t>
        </is>
      </c>
      <c r="C42" s="2" t="inlineStr">
        <is>
          <t>Rustaq</t>
        </is>
      </c>
      <c r="D42" s="2" t="inlineStr">
        <is>
          <t>Government</t>
        </is>
      </c>
      <c r="E42" s="2" t="inlineStr">
        <is>
          <t>Yes</t>
        </is>
      </c>
      <c r="F42" s="2" t="inlineStr">
        <is>
          <t>Yes</t>
        </is>
      </c>
      <c r="G42" s="2" t="inlineStr"/>
      <c r="H42" s="2" t="inlineStr">
        <is>
          <t>Medium</t>
        </is>
      </c>
      <c r="I42" s="2" t="inlineStr"/>
      <c r="J42" s="2" t="inlineStr">
        <is>
          <t>Named in Oman dialysis studies.</t>
        </is>
      </c>
      <c r="K42" s="2" t="inlineStr">
        <is>
          <t>https://pmc.ncbi.nlm.nih.gov/articles/PMC5678924/;https://pmc.ncbi.nlm.nih.gov/articles/PMC10686920/</t>
        </is>
      </c>
      <c r="L42" s="2" t="inlineStr">
        <is>
          <t>OBSERVED</t>
        </is>
      </c>
      <c r="M42" s="2" t="inlineStr">
        <is>
          <t>SOURCE-VERIFIED HD SERVICE; CURRENT STATUS SHOULD BE RECHECKED WHERE SOURCE IS HISTORICAL</t>
        </is>
      </c>
      <c r="N42" s="2" t="inlineStr">
        <is>
          <t>SRC-WEB-030;SRC-WEB-031</t>
        </is>
      </c>
    </row>
    <row r="43">
      <c r="A43" s="2" t="inlineStr">
        <is>
          <t>Oman</t>
        </is>
      </c>
      <c r="B43" s="2" t="inlineStr">
        <is>
          <t>Khasab Hospital</t>
        </is>
      </c>
      <c r="C43" s="2" t="inlineStr">
        <is>
          <t>Khasab</t>
        </is>
      </c>
      <c r="D43" s="2" t="inlineStr">
        <is>
          <t>Government</t>
        </is>
      </c>
      <c r="E43" s="2" t="inlineStr">
        <is>
          <t>Yes</t>
        </is>
      </c>
      <c r="F43" s="2" t="inlineStr">
        <is>
          <t>Yes</t>
        </is>
      </c>
      <c r="G43" s="2" t="inlineStr"/>
      <c r="H43" s="2" t="inlineStr">
        <is>
          <t>Medium</t>
        </is>
      </c>
      <c r="I43" s="2" t="inlineStr"/>
      <c r="J43" s="2" t="inlineStr">
        <is>
          <t>Named in Oman dialysis studies.</t>
        </is>
      </c>
      <c r="K43" s="2" t="inlineStr">
        <is>
          <t>https://pmc.ncbi.nlm.nih.gov/articles/PMC5678924/;https://pmc.ncbi.nlm.nih.gov/articles/PMC10686920/</t>
        </is>
      </c>
      <c r="L43" s="2" t="inlineStr">
        <is>
          <t>OBSERVED</t>
        </is>
      </c>
      <c r="M43" s="2" t="inlineStr">
        <is>
          <t>SOURCE-VERIFIED HD SERVICE; CURRENT STATUS SHOULD BE RECHECKED WHERE SOURCE IS HISTORICAL</t>
        </is>
      </c>
      <c r="N43" s="2" t="inlineStr">
        <is>
          <t>SRC-WEB-030;SRC-WEB-031</t>
        </is>
      </c>
    </row>
    <row r="44">
      <c r="A44" s="2" t="inlineStr">
        <is>
          <t>Oman</t>
        </is>
      </c>
      <c r="B44" s="2" t="inlineStr">
        <is>
          <t>Nizwa Hospital</t>
        </is>
      </c>
      <c r="C44" s="2" t="inlineStr">
        <is>
          <t>Nizwa</t>
        </is>
      </c>
      <c r="D44" s="2" t="inlineStr">
        <is>
          <t>Government</t>
        </is>
      </c>
      <c r="E44" s="2" t="inlineStr">
        <is>
          <t>Yes</t>
        </is>
      </c>
      <c r="F44" s="2" t="inlineStr">
        <is>
          <t>Yes</t>
        </is>
      </c>
      <c r="G44" s="2" t="inlineStr"/>
      <c r="H44" s="2" t="inlineStr">
        <is>
          <t>Medium</t>
        </is>
      </c>
      <c r="I44" s="2" t="inlineStr"/>
      <c r="J44" s="2" t="inlineStr">
        <is>
          <t>Historical 2013 dialysis facility; current status should be rechecked.</t>
        </is>
      </c>
      <c r="K44" s="2" t="inlineStr">
        <is>
          <t>https://pmc.ncbi.nlm.nih.gov/articles/PMC5678924/</t>
        </is>
      </c>
      <c r="L44" s="2" t="inlineStr">
        <is>
          <t>OBSERVED</t>
        </is>
      </c>
      <c r="M44" s="2" t="inlineStr">
        <is>
          <t>SOURCE-VERIFIED HD SERVICE; CURRENT STATUS SHOULD BE RECHECKED WHERE SOURCE IS HISTORICAL</t>
        </is>
      </c>
      <c r="N44" s="2" t="inlineStr">
        <is>
          <t>SRC-WEB-030</t>
        </is>
      </c>
    </row>
    <row r="45">
      <c r="A45" s="2" t="inlineStr">
        <is>
          <t>Oman</t>
        </is>
      </c>
      <c r="B45" s="2" t="inlineStr">
        <is>
          <t>Sur Hospital</t>
        </is>
      </c>
      <c r="C45" s="2" t="inlineStr">
        <is>
          <t>Sur</t>
        </is>
      </c>
      <c r="D45" s="2" t="inlineStr">
        <is>
          <t>Government</t>
        </is>
      </c>
      <c r="E45" s="2" t="inlineStr">
        <is>
          <t>Yes</t>
        </is>
      </c>
      <c r="F45" s="2" t="inlineStr">
        <is>
          <t>Yes</t>
        </is>
      </c>
      <c r="G45" s="2" t="inlineStr"/>
      <c r="H45" s="2" t="inlineStr">
        <is>
          <t>Medium</t>
        </is>
      </c>
      <c r="I45" s="2" t="inlineStr"/>
      <c r="J45" s="2" t="inlineStr">
        <is>
          <t>Historical 2013 dialysis facility; current status should be rechecked.</t>
        </is>
      </c>
      <c r="K45" s="2" t="inlineStr">
        <is>
          <t>https://pmc.ncbi.nlm.nih.gov/articles/PMC5678924/</t>
        </is>
      </c>
      <c r="L45" s="2" t="inlineStr">
        <is>
          <t>OBSERVED</t>
        </is>
      </c>
      <c r="M45" s="2" t="inlineStr">
        <is>
          <t>SOURCE-VERIFIED HD SERVICE; CURRENT STATUS SHOULD BE RECHECKED WHERE SOURCE IS HISTORICAL</t>
        </is>
      </c>
      <c r="N45" s="2" t="inlineStr">
        <is>
          <t>SRC-WEB-030</t>
        </is>
      </c>
    </row>
    <row r="46">
      <c r="A46" s="2" t="inlineStr">
        <is>
          <t>Oman</t>
        </is>
      </c>
      <c r="B46" s="2" t="inlineStr">
        <is>
          <t>Dibba Hospital</t>
        </is>
      </c>
      <c r="C46" s="2" t="inlineStr">
        <is>
          <t>Dibba</t>
        </is>
      </c>
      <c r="D46" s="2" t="inlineStr">
        <is>
          <t>Government</t>
        </is>
      </c>
      <c r="E46" s="2" t="inlineStr">
        <is>
          <t>Yes</t>
        </is>
      </c>
      <c r="F46" s="2" t="inlineStr">
        <is>
          <t>Yes</t>
        </is>
      </c>
      <c r="G46" s="2" t="inlineStr"/>
      <c r="H46" s="2" t="inlineStr">
        <is>
          <t>Medium</t>
        </is>
      </c>
      <c r="I46" s="2" t="inlineStr"/>
      <c r="J46" s="2" t="inlineStr">
        <is>
          <t>Historical 2013 dialysis facility; current status should be rechecked.</t>
        </is>
      </c>
      <c r="K46" s="2" t="inlineStr">
        <is>
          <t>https://pmc.ncbi.nlm.nih.gov/articles/PMC5678924/</t>
        </is>
      </c>
      <c r="L46" s="2" t="inlineStr">
        <is>
          <t>OBSERVED</t>
        </is>
      </c>
      <c r="M46" s="2" t="inlineStr">
        <is>
          <t>SOURCE-VERIFIED HD SERVICE; CURRENT STATUS SHOULD BE RECHECKED WHERE SOURCE IS HISTORICAL</t>
        </is>
      </c>
      <c r="N46" s="2" t="inlineStr">
        <is>
          <t>SRC-WEB-030</t>
        </is>
      </c>
    </row>
    <row r="47">
      <c r="A47" s="2" t="inlineStr">
        <is>
          <t>Oman</t>
        </is>
      </c>
      <c r="B47" s="2" t="inlineStr">
        <is>
          <t>Qurayyat Hospital</t>
        </is>
      </c>
      <c r="C47" s="2" t="inlineStr">
        <is>
          <t>Qurayyat</t>
        </is>
      </c>
      <c r="D47" s="2" t="inlineStr">
        <is>
          <t>Government</t>
        </is>
      </c>
      <c r="E47" s="2" t="inlineStr">
        <is>
          <t>Yes</t>
        </is>
      </c>
      <c r="F47" s="2" t="inlineStr">
        <is>
          <t>Yes</t>
        </is>
      </c>
      <c r="G47" s="2" t="inlineStr"/>
      <c r="H47" s="2" t="inlineStr">
        <is>
          <t>Medium</t>
        </is>
      </c>
      <c r="I47" s="2" t="inlineStr"/>
      <c r="J47" s="2" t="inlineStr">
        <is>
          <t>Named in Oman dialysis studies.</t>
        </is>
      </c>
      <c r="K47" s="2" t="inlineStr">
        <is>
          <t>https://pmc.ncbi.nlm.nih.gov/articles/PMC5678924/;https://pmc.ncbi.nlm.nih.gov/articles/PMC10686920/</t>
        </is>
      </c>
      <c r="L47" s="2" t="inlineStr">
        <is>
          <t>OBSERVED</t>
        </is>
      </c>
      <c r="M47" s="2" t="inlineStr">
        <is>
          <t>SOURCE-VERIFIED HD SERVICE; CURRENT STATUS SHOULD BE RECHECKED WHERE SOURCE IS HISTORICAL</t>
        </is>
      </c>
      <c r="N47" s="2" t="inlineStr">
        <is>
          <t>SRC-WEB-030;SRC-WEB-031</t>
        </is>
      </c>
    </row>
    <row r="48">
      <c r="A48" s="2" t="inlineStr">
        <is>
          <t>Oman</t>
        </is>
      </c>
      <c r="B48" s="2" t="inlineStr">
        <is>
          <t>Al Buraimi Hospital</t>
        </is>
      </c>
      <c r="C48" s="2" t="inlineStr">
        <is>
          <t>Al Buraimi</t>
        </is>
      </c>
      <c r="D48" s="2" t="inlineStr">
        <is>
          <t>Government</t>
        </is>
      </c>
      <c r="E48" s="2" t="inlineStr">
        <is>
          <t>Yes</t>
        </is>
      </c>
      <c r="F48" s="2" t="inlineStr">
        <is>
          <t>Yes</t>
        </is>
      </c>
      <c r="G48" s="2" t="inlineStr"/>
      <c r="H48" s="2" t="inlineStr">
        <is>
          <t>Medium</t>
        </is>
      </c>
      <c r="I48" s="2" t="inlineStr"/>
      <c r="J48" s="2" t="inlineStr">
        <is>
          <t>Named in Oman dialysis studies.</t>
        </is>
      </c>
      <c r="K48" s="2" t="inlineStr">
        <is>
          <t>https://pmc.ncbi.nlm.nih.gov/articles/PMC5678924/;https://pmc.ncbi.nlm.nih.gov/articles/PMC10686920/</t>
        </is>
      </c>
      <c r="L48" s="2" t="inlineStr">
        <is>
          <t>OBSERVED</t>
        </is>
      </c>
      <c r="M48" s="2" t="inlineStr">
        <is>
          <t>SOURCE-VERIFIED HD SERVICE; CURRENT STATUS SHOULD BE RECHECKED WHERE SOURCE IS HISTORICAL</t>
        </is>
      </c>
      <c r="N48" s="2" t="inlineStr">
        <is>
          <t>SRC-WEB-030;SRC-WEB-031</t>
        </is>
      </c>
    </row>
    <row r="49">
      <c r="A49" s="2" t="inlineStr">
        <is>
          <t>Oman</t>
        </is>
      </c>
      <c r="B49" s="2" t="inlineStr">
        <is>
          <t>Sinaw Hospital</t>
        </is>
      </c>
      <c r="C49" s="2" t="inlineStr">
        <is>
          <t>Sinaw</t>
        </is>
      </c>
      <c r="D49" s="2" t="inlineStr">
        <is>
          <t>Government</t>
        </is>
      </c>
      <c r="E49" s="2" t="inlineStr">
        <is>
          <t>Yes</t>
        </is>
      </c>
      <c r="F49" s="2" t="inlineStr">
        <is>
          <t>Yes</t>
        </is>
      </c>
      <c r="G49" s="2" t="inlineStr"/>
      <c r="H49" s="2" t="inlineStr">
        <is>
          <t>Medium</t>
        </is>
      </c>
      <c r="I49" s="2" t="inlineStr"/>
      <c r="J49" s="2" t="inlineStr">
        <is>
          <t>Historical 2013 dialysis facility; current status should be rechecked.</t>
        </is>
      </c>
      <c r="K49" s="2" t="inlineStr">
        <is>
          <t>https://pmc.ncbi.nlm.nih.gov/articles/PMC5678924/</t>
        </is>
      </c>
      <c r="L49" s="2" t="inlineStr">
        <is>
          <t>OBSERVED</t>
        </is>
      </c>
      <c r="M49" s="2" t="inlineStr">
        <is>
          <t>SOURCE-VERIFIED HD SERVICE; CURRENT STATUS SHOULD BE RECHECKED WHERE SOURCE IS HISTORICAL</t>
        </is>
      </c>
      <c r="N49" s="2" t="inlineStr">
        <is>
          <t>SRC-WEB-030</t>
        </is>
      </c>
    </row>
    <row r="50">
      <c r="A50" s="2" t="inlineStr">
        <is>
          <t>Bahrain</t>
        </is>
      </c>
      <c r="B50" s="2" t="inlineStr">
        <is>
          <t>Salmaniya Medical Complex</t>
        </is>
      </c>
      <c r="C50" s="2" t="inlineStr">
        <is>
          <t>Manama</t>
        </is>
      </c>
      <c r="D50" s="2" t="inlineStr">
        <is>
          <t>Government</t>
        </is>
      </c>
      <c r="E50" s="2" t="inlineStr">
        <is>
          <t>Yes</t>
        </is>
      </c>
      <c r="F50" s="2" t="inlineStr">
        <is>
          <t>Yes</t>
        </is>
      </c>
      <c r="G50" s="2" t="inlineStr"/>
      <c r="H50" s="2" t="inlineStr">
        <is>
          <t>High</t>
        </is>
      </c>
      <c r="I50" s="2" t="inlineStr"/>
      <c r="J50" s="2" t="inlineStr">
        <is>
          <t>2023 peer-reviewed study enrolled HD patients at Salmaniya Medical Complex.</t>
        </is>
      </c>
      <c r="K50" s="2" t="inlineStr">
        <is>
          <t>https://pmc.ncbi.nlm.nih.gov/articles/PMC10750137/</t>
        </is>
      </c>
      <c r="L50" s="2" t="inlineStr">
        <is>
          <t>OBSERVED</t>
        </is>
      </c>
      <c r="M50" s="2" t="inlineStr">
        <is>
          <t>SOURCE-VERIFIED HD SERVICE; CURRENT STATUS SHOULD BE RECHECKED WHERE SOURCE IS HISTORICAL</t>
        </is>
      </c>
      <c r="N50" s="2" t="inlineStr">
        <is>
          <t>SRC-WEB-039</t>
        </is>
      </c>
    </row>
    <row r="51">
      <c r="A51" s="2" t="inlineStr">
        <is>
          <t>Jordan</t>
        </is>
      </c>
      <c r="B51" s="2" t="inlineStr">
        <is>
          <t>King Abdullah University Hospital</t>
        </is>
      </c>
      <c r="C51" s="2" t="inlineStr">
        <is>
          <t>Irbid</t>
        </is>
      </c>
      <c r="D51" s="2" t="inlineStr">
        <is>
          <t>University</t>
        </is>
      </c>
      <c r="E51" s="2" t="inlineStr">
        <is>
          <t>Yes</t>
        </is>
      </c>
      <c r="F51" s="2" t="inlineStr">
        <is>
          <t>Yes</t>
        </is>
      </c>
      <c r="G51" s="2" t="inlineStr"/>
      <c r="H51" s="2" t="inlineStr">
        <is>
          <t>High</t>
        </is>
      </c>
      <c r="I51" s="2" t="inlineStr"/>
      <c r="J51" s="2" t="inlineStr">
        <is>
          <t>HD patients were recruited from the hospital dialysis clinic/unit.</t>
        </is>
      </c>
      <c r="K51" s="2" t="inlineStr">
        <is>
          <t>https://pmc.ncbi.nlm.nih.gov/articles/PMC11486397/;https://pmc.ncbi.nlm.nih.gov/articles/PMC8709968/</t>
        </is>
      </c>
      <c r="L51" s="2" t="inlineStr">
        <is>
          <t>OBSERVED</t>
        </is>
      </c>
      <c r="M51" s="2" t="inlineStr">
        <is>
          <t>SOURCE-VERIFIED HD SERVICE; CURRENT STATUS SHOULD BE RECHECKED WHERE SOURCE IS HISTORICAL</t>
        </is>
      </c>
      <c r="N51" s="2" t="inlineStr">
        <is>
          <t>SRC-WEB-040;SRC-WEB-041</t>
        </is>
      </c>
    </row>
    <row r="52">
      <c r="A52" s="2" t="inlineStr">
        <is>
          <t>Jordan</t>
        </is>
      </c>
      <c r="B52" s="2" t="inlineStr">
        <is>
          <t>Jordan University Hospital</t>
        </is>
      </c>
      <c r="C52" s="2" t="inlineStr">
        <is>
          <t>Amman</t>
        </is>
      </c>
      <c r="D52" s="2" t="inlineStr">
        <is>
          <t>University</t>
        </is>
      </c>
      <c r="E52" s="2" t="inlineStr">
        <is>
          <t>Yes</t>
        </is>
      </c>
      <c r="F52" s="2" t="inlineStr">
        <is>
          <t>Yes</t>
        </is>
      </c>
      <c r="G52" s="2" t="inlineStr"/>
      <c r="H52" s="2" t="inlineStr">
        <is>
          <t>High</t>
        </is>
      </c>
      <c r="I52" s="2" t="inlineStr"/>
      <c r="J52" s="2" t="inlineStr">
        <is>
          <t>Multiple studies confirm HD unit/service.</t>
        </is>
      </c>
      <c r="K52" s="2" t="inlineStr">
        <is>
          <t>https://pmc.ncbi.nlm.nih.gov/articles/PMC11486397/;https://pmc.ncbi.nlm.nih.gov/articles/PMC8709968/;https://pmc.ncbi.nlm.nih.gov/articles/PMC7175504/;https://pmc.ncbi.nlm.nih.gov/articles/PMC11700451/</t>
        </is>
      </c>
      <c r="L52" s="2" t="inlineStr">
        <is>
          <t>OBSERVED</t>
        </is>
      </c>
      <c r="M52" s="2" t="inlineStr">
        <is>
          <t>SOURCE-VERIFIED HD SERVICE; CURRENT STATUS SHOULD BE RECHECKED WHERE SOURCE IS HISTORICAL</t>
        </is>
      </c>
      <c r="N52" s="2" t="inlineStr">
        <is>
          <t>SRC-WEB-040;SRC-WEB-041;SRC-WEB-042;SRC-WEB-043</t>
        </is>
      </c>
    </row>
    <row r="53">
      <c r="A53" s="2" t="inlineStr">
        <is>
          <t>Jordan</t>
        </is>
      </c>
      <c r="B53" s="2" t="inlineStr">
        <is>
          <t>Princess Basma Hospital</t>
        </is>
      </c>
      <c r="C53" s="2" t="inlineStr">
        <is>
          <t>Irbid</t>
        </is>
      </c>
      <c r="D53" s="2" t="inlineStr">
        <is>
          <t>Government</t>
        </is>
      </c>
      <c r="E53" s="2" t="inlineStr">
        <is>
          <t>Yes</t>
        </is>
      </c>
      <c r="F53" s="2" t="inlineStr">
        <is>
          <t>Yes</t>
        </is>
      </c>
      <c r="G53" s="2" t="inlineStr"/>
      <c r="H53" s="2" t="inlineStr">
        <is>
          <t>High</t>
        </is>
      </c>
      <c r="I53" s="2" t="inlineStr"/>
      <c r="J53" s="2" t="inlineStr">
        <is>
          <t>Nationwide and multicenter HD studies include Princess Basma.</t>
        </is>
      </c>
      <c r="K53" s="2" t="inlineStr">
        <is>
          <t>https://pmc.ncbi.nlm.nih.gov/articles/PMC11486397/;https://pmc.ncbi.nlm.nih.gov/articles/PMC8709968/</t>
        </is>
      </c>
      <c r="L53" s="2" t="inlineStr">
        <is>
          <t>OBSERVED</t>
        </is>
      </c>
      <c r="M53" s="2" t="inlineStr">
        <is>
          <t>SOURCE-VERIFIED HD SERVICE; CURRENT STATUS SHOULD BE RECHECKED WHERE SOURCE IS HISTORICAL</t>
        </is>
      </c>
      <c r="N53" s="2" t="inlineStr">
        <is>
          <t>SRC-WEB-040;SRC-WEB-041</t>
        </is>
      </c>
    </row>
    <row r="54">
      <c r="A54" s="2" t="inlineStr">
        <is>
          <t>Jordan</t>
        </is>
      </c>
      <c r="B54" s="2" t="inlineStr">
        <is>
          <t>Al-Ramtha Governmental Hospital</t>
        </is>
      </c>
      <c r="C54" s="2" t="inlineStr">
        <is>
          <t>Ar-Ramtha</t>
        </is>
      </c>
      <c r="D54" s="2" t="inlineStr">
        <is>
          <t>Government</t>
        </is>
      </c>
      <c r="E54" s="2" t="inlineStr">
        <is>
          <t>Yes</t>
        </is>
      </c>
      <c r="F54" s="2" t="inlineStr">
        <is>
          <t>Yes</t>
        </is>
      </c>
      <c r="G54" s="2" t="inlineStr"/>
      <c r="H54" s="2" t="inlineStr">
        <is>
          <t>High</t>
        </is>
      </c>
      <c r="I54" s="2" t="inlineStr"/>
      <c r="J54" s="2" t="inlineStr">
        <is>
          <t>HD patients were recruited during scheduled dialysis sessions.</t>
        </is>
      </c>
      <c r="K54" s="2" t="inlineStr">
        <is>
          <t>https://pmc.ncbi.nlm.nih.gov/articles/PMC8709968/</t>
        </is>
      </c>
      <c r="L54" s="2" t="inlineStr">
        <is>
          <t>OBSERVED</t>
        </is>
      </c>
      <c r="M54" s="2" t="inlineStr">
        <is>
          <t>SOURCE-VERIFIED HD SERVICE; CURRENT STATUS SHOULD BE RECHECKED WHERE SOURCE IS HISTORICAL</t>
        </is>
      </c>
      <c r="N54" s="2" t="inlineStr">
        <is>
          <t>SRC-WEB-041</t>
        </is>
      </c>
    </row>
    <row r="55">
      <c r="A55" s="2" t="inlineStr">
        <is>
          <t>Jordan</t>
        </is>
      </c>
      <c r="B55" s="2" t="inlineStr">
        <is>
          <t>Al-Hussein / Salt Hospital</t>
        </is>
      </c>
      <c r="C55" s="2" t="inlineStr">
        <is>
          <t>As-Salt</t>
        </is>
      </c>
      <c r="D55" s="2" t="inlineStr">
        <is>
          <t>Government</t>
        </is>
      </c>
      <c r="E55" s="2" t="inlineStr">
        <is>
          <t>Yes</t>
        </is>
      </c>
      <c r="F55" s="2" t="inlineStr">
        <is>
          <t>Yes</t>
        </is>
      </c>
      <c r="G55" s="2" t="inlineStr"/>
      <c r="H55" s="2" t="inlineStr">
        <is>
          <t>High</t>
        </is>
      </c>
      <c r="I55" s="2" t="inlineStr"/>
      <c r="J55" s="2" t="inlineStr">
        <is>
          <t>Nationwide study explicitly identifies hospital as having a dialysis unit.</t>
        </is>
      </c>
      <c r="K55" s="2" t="inlineStr">
        <is>
          <t>https://pmc.ncbi.nlm.nih.gov/articles/PMC11486397/</t>
        </is>
      </c>
      <c r="L55" s="2" t="inlineStr">
        <is>
          <t>OBSERVED</t>
        </is>
      </c>
      <c r="M55" s="2" t="inlineStr">
        <is>
          <t>SOURCE-VERIFIED HD SERVICE; CURRENT STATUS SHOULD BE RECHECKED WHERE SOURCE IS HISTORICAL</t>
        </is>
      </c>
      <c r="N55" s="2" t="inlineStr">
        <is>
          <t>SRC-WEB-040</t>
        </is>
      </c>
    </row>
    <row r="56">
      <c r="A56" s="2" t="inlineStr">
        <is>
          <t>Jordan</t>
        </is>
      </c>
      <c r="B56" s="2" t="inlineStr">
        <is>
          <t>Al-Bashir Hospitals</t>
        </is>
      </c>
      <c r="C56" s="2" t="inlineStr">
        <is>
          <t>Amman</t>
        </is>
      </c>
      <c r="D56" s="2" t="inlineStr">
        <is>
          <t>Government</t>
        </is>
      </c>
      <c r="E56" s="2" t="inlineStr">
        <is>
          <t>Yes</t>
        </is>
      </c>
      <c r="F56" s="2" t="inlineStr">
        <is>
          <t>Yes</t>
        </is>
      </c>
      <c r="G56" s="2" t="inlineStr"/>
      <c r="H56" s="2" t="inlineStr">
        <is>
          <t>High</t>
        </is>
      </c>
      <c r="I56" s="2" t="inlineStr"/>
      <c r="J56" s="2" t="inlineStr">
        <is>
          <t>Nationwide and multicenter HD studies confirm HD units.</t>
        </is>
      </c>
      <c r="K56" s="2" t="inlineStr">
        <is>
          <t>https://pmc.ncbi.nlm.nih.gov/articles/PMC11486397/;https://pmc.ncbi.nlm.nih.gov/articles/PMC7175504/</t>
        </is>
      </c>
      <c r="L56" s="2" t="inlineStr">
        <is>
          <t>OBSERVED</t>
        </is>
      </c>
      <c r="M56" s="2" t="inlineStr">
        <is>
          <t>SOURCE-VERIFIED HD SERVICE; CURRENT STATUS SHOULD BE RECHECKED WHERE SOURCE IS HISTORICAL</t>
        </is>
      </c>
      <c r="N56" s="2" t="inlineStr">
        <is>
          <t>SRC-WEB-040;SRC-WEB-042</t>
        </is>
      </c>
    </row>
    <row r="57">
      <c r="A57" s="2" t="inlineStr">
        <is>
          <t>Jordan</t>
        </is>
      </c>
      <c r="B57" s="2" t="inlineStr">
        <is>
          <t>Al-Nadeem Hospital</t>
        </is>
      </c>
      <c r="C57" s="2" t="inlineStr">
        <is>
          <t>Madaba</t>
        </is>
      </c>
      <c r="D57" s="2" t="inlineStr">
        <is>
          <t>Government</t>
        </is>
      </c>
      <c r="E57" s="2" t="inlineStr">
        <is>
          <t>Yes</t>
        </is>
      </c>
      <c r="F57" s="2" t="inlineStr">
        <is>
          <t>Yes</t>
        </is>
      </c>
      <c r="G57" s="2" t="inlineStr"/>
      <c r="H57" s="2" t="inlineStr">
        <is>
          <t>High</t>
        </is>
      </c>
      <c r="I57" s="2" t="inlineStr"/>
      <c r="J57" s="2" t="inlineStr">
        <is>
          <t>Nationwide study explicitly identifies hospital as having a dialysis unit.</t>
        </is>
      </c>
      <c r="K57" s="2" t="inlineStr">
        <is>
          <t>https://pmc.ncbi.nlm.nih.gov/articles/PMC11486397/</t>
        </is>
      </c>
      <c r="L57" s="2" t="inlineStr">
        <is>
          <t>OBSERVED</t>
        </is>
      </c>
      <c r="M57" s="2" t="inlineStr">
        <is>
          <t>SOURCE-VERIFIED HD SERVICE; CURRENT STATUS SHOULD BE RECHECKED WHERE SOURCE IS HISTORICAL</t>
        </is>
      </c>
      <c r="N57" s="2" t="inlineStr">
        <is>
          <t>SRC-WEB-040</t>
        </is>
      </c>
    </row>
    <row r="58">
      <c r="A58" s="2" t="inlineStr">
        <is>
          <t>Jordan</t>
        </is>
      </c>
      <c r="B58" s="2" t="inlineStr">
        <is>
          <t>Al-Zarqa Hospital</t>
        </is>
      </c>
      <c r="C58" s="2" t="inlineStr">
        <is>
          <t>Zarqa</t>
        </is>
      </c>
      <c r="D58" s="2" t="inlineStr">
        <is>
          <t>Government</t>
        </is>
      </c>
      <c r="E58" s="2" t="inlineStr">
        <is>
          <t>Yes</t>
        </is>
      </c>
      <c r="F58" s="2" t="inlineStr">
        <is>
          <t>Yes</t>
        </is>
      </c>
      <c r="G58" s="2" t="inlineStr"/>
      <c r="H58" s="2" t="inlineStr">
        <is>
          <t>High</t>
        </is>
      </c>
      <c r="I58" s="2" t="inlineStr"/>
      <c r="J58" s="2" t="inlineStr">
        <is>
          <t>Nationwide study explicitly identifies hospital as having a dialysis unit.</t>
        </is>
      </c>
      <c r="K58" s="2" t="inlineStr">
        <is>
          <t>https://pmc.ncbi.nlm.nih.gov/articles/PMC11486397/</t>
        </is>
      </c>
      <c r="L58" s="2" t="inlineStr">
        <is>
          <t>OBSERVED</t>
        </is>
      </c>
      <c r="M58" s="2" t="inlineStr">
        <is>
          <t>SOURCE-VERIFIED HD SERVICE; CURRENT STATUS SHOULD BE RECHECKED WHERE SOURCE IS HISTORICAL</t>
        </is>
      </c>
      <c r="N58" s="2" t="inlineStr">
        <is>
          <t>SRC-WEB-040</t>
        </is>
      </c>
    </row>
    <row r="59">
      <c r="A59" s="2" t="inlineStr">
        <is>
          <t>Jordan</t>
        </is>
      </c>
      <c r="B59" s="2" t="inlineStr">
        <is>
          <t>Prince Hamza Hospital</t>
        </is>
      </c>
      <c r="C59" s="2" t="inlineStr">
        <is>
          <t>Amman</t>
        </is>
      </c>
      <c r="D59" s="2" t="inlineStr">
        <is>
          <t>Government</t>
        </is>
      </c>
      <c r="E59" s="2" t="inlineStr">
        <is>
          <t>Yes</t>
        </is>
      </c>
      <c r="F59" s="2" t="inlineStr">
        <is>
          <t>Yes</t>
        </is>
      </c>
      <c r="G59" s="2" t="inlineStr"/>
      <c r="H59" s="2" t="inlineStr">
        <is>
          <t>High</t>
        </is>
      </c>
      <c r="I59" s="2" t="inlineStr"/>
      <c r="J59" s="2" t="inlineStr">
        <is>
          <t>2023 study confirms a dialysis unit treating chronic HD patients.</t>
        </is>
      </c>
      <c r="K59" s="2" t="inlineStr">
        <is>
          <t>https://pmc.ncbi.nlm.nih.gov/articles/PMC11486397/;https://pmc.ncbi.nlm.nih.gov/articles/PMC11700451/</t>
        </is>
      </c>
      <c r="L59" s="2" t="inlineStr">
        <is>
          <t>OBSERVED</t>
        </is>
      </c>
      <c r="M59" s="2" t="inlineStr">
        <is>
          <t>SOURCE-VERIFIED HD SERVICE; CURRENT STATUS SHOULD BE RECHECKED WHERE SOURCE IS HISTORICAL</t>
        </is>
      </c>
      <c r="N59" s="2" t="inlineStr">
        <is>
          <t>SRC-WEB-040;SRC-WEB-043</t>
        </is>
      </c>
    </row>
    <row r="60">
      <c r="A60" s="2" t="inlineStr">
        <is>
          <t>Jordan</t>
        </is>
      </c>
      <c r="B60" s="2" t="inlineStr">
        <is>
          <t>King Hussein Medical Center</t>
        </is>
      </c>
      <c r="C60" s="2" t="inlineStr">
        <is>
          <t>Amman</t>
        </is>
      </c>
      <c r="D60" s="2" t="inlineStr">
        <is>
          <t>Military</t>
        </is>
      </c>
      <c r="E60" s="2" t="inlineStr">
        <is>
          <t>Yes</t>
        </is>
      </c>
      <c r="F60" s="2" t="inlineStr">
        <is>
          <t>Yes</t>
        </is>
      </c>
      <c r="G60" s="2" t="inlineStr"/>
      <c r="H60" s="2" t="inlineStr">
        <is>
          <t>High</t>
        </is>
      </c>
      <c r="I60" s="2" t="inlineStr"/>
      <c r="J60" s="2" t="inlineStr">
        <is>
          <t>Peer-reviewed Jordan studies identify dialysis services; pediatric dialysis unit evidence also exists.</t>
        </is>
      </c>
      <c r="K60" s="2" t="inlineStr">
        <is>
          <t>https://pmc.ncbi.nlm.nih.gov/articles/PMC7175504/;https://www.moh.gov.sa/en/ministry/mediacenter/news/pages/news-2018-01-07-0004.aspx</t>
        </is>
      </c>
      <c r="L60" s="2" t="inlineStr">
        <is>
          <t>OBSERVED</t>
        </is>
      </c>
      <c r="M60" s="2" t="inlineStr">
        <is>
          <t>SOURCE-VERIFIED HD SERVICE; CURRENT STATUS SHOULD BE RECHECKED WHERE SOURCE IS HISTORICAL</t>
        </is>
      </c>
      <c r="N60" s="2" t="inlineStr">
        <is>
          <t>SRC-WEB-042;SRC-WEB-006</t>
        </is>
      </c>
    </row>
    <row r="61">
      <c r="A61" s="2" t="inlineStr">
        <is>
          <t>Lebanon</t>
        </is>
      </c>
      <c r="B61" s="2" t="inlineStr">
        <is>
          <t>Abou Jaoude Hospital</t>
        </is>
      </c>
      <c r="C61" s="2" t="inlineStr">
        <is>
          <t>Jal el Dib</t>
        </is>
      </c>
      <c r="D61" s="2" t="inlineStr">
        <is>
          <t>Unknown</t>
        </is>
      </c>
      <c r="E61" s="2" t="inlineStr">
        <is>
          <t>Yes</t>
        </is>
      </c>
      <c r="F61" s="2" t="inlineStr">
        <is>
          <t>Yes</t>
        </is>
      </c>
      <c r="G61" s="2" t="inlineStr"/>
      <c r="H61" s="2" t="inlineStr">
        <is>
          <t>High</t>
        </is>
      </c>
      <c r="I61" s="2" t="inlineStr"/>
      <c r="J61" s="2" t="inlineStr">
        <is>
          <t>Peer-reviewed Lebanese HD cohort/trial identified the hospital as a participating HD site; ownership not inferred.</t>
        </is>
      </c>
      <c r="K61" s="2" t="inlineStr">
        <is>
          <t>https://pmc.ncbi.nlm.nih.gov/articles/PMC7912967/</t>
        </is>
      </c>
      <c r="L61" s="2" t="inlineStr">
        <is>
          <t>OBSERVED</t>
        </is>
      </c>
      <c r="M61" s="2" t="inlineStr">
        <is>
          <t>SOURCE-VERIFIED HD SERVICE; CURRENT STATUS SHOULD BE RECHECKED WHERE SOURCE IS HISTORICAL</t>
        </is>
      </c>
      <c r="N61" s="2" t="inlineStr">
        <is>
          <t>SRC-WEB-046</t>
        </is>
      </c>
    </row>
    <row r="62">
      <c r="A62" s="2" t="inlineStr">
        <is>
          <t>Lebanon</t>
        </is>
      </c>
      <c r="B62" s="2" t="inlineStr">
        <is>
          <t>Labib Hospital</t>
        </is>
      </c>
      <c r="C62" s="2" t="inlineStr">
        <is>
          <t>Sidon</t>
        </is>
      </c>
      <c r="D62" s="2" t="inlineStr">
        <is>
          <t>Unknown</t>
        </is>
      </c>
      <c r="E62" s="2" t="inlineStr">
        <is>
          <t>Yes</t>
        </is>
      </c>
      <c r="F62" s="2" t="inlineStr">
        <is>
          <t>Yes</t>
        </is>
      </c>
      <c r="G62" s="2" t="inlineStr"/>
      <c r="H62" s="2" t="inlineStr">
        <is>
          <t>High</t>
        </is>
      </c>
      <c r="I62" s="2" t="inlineStr"/>
      <c r="J62" s="2" t="inlineStr">
        <is>
          <t>Peer-reviewed Lebanese HD cohort/trial identified the hospital as a participating HD site; ownership not inferred.</t>
        </is>
      </c>
      <c r="K62" s="2" t="inlineStr">
        <is>
          <t>https://pmc.ncbi.nlm.nih.gov/articles/PMC7912967/</t>
        </is>
      </c>
      <c r="L62" s="2" t="inlineStr">
        <is>
          <t>OBSERVED</t>
        </is>
      </c>
      <c r="M62" s="2" t="inlineStr">
        <is>
          <t>SOURCE-VERIFIED HD SERVICE; CURRENT STATUS SHOULD BE RECHECKED WHERE SOURCE IS HISTORICAL</t>
        </is>
      </c>
      <c r="N62" s="2" t="inlineStr">
        <is>
          <t>SRC-WEB-046</t>
        </is>
      </c>
    </row>
    <row r="63">
      <c r="A63" s="2" t="inlineStr">
        <is>
          <t>Lebanon</t>
        </is>
      </c>
      <c r="B63" s="2" t="inlineStr">
        <is>
          <t>Khoury Hospital</t>
        </is>
      </c>
      <c r="C63" s="2" t="inlineStr">
        <is>
          <t>Zahle</t>
        </is>
      </c>
      <c r="D63" s="2" t="inlineStr">
        <is>
          <t>Unknown</t>
        </is>
      </c>
      <c r="E63" s="2" t="inlineStr">
        <is>
          <t>Yes</t>
        </is>
      </c>
      <c r="F63" s="2" t="inlineStr">
        <is>
          <t>Yes</t>
        </is>
      </c>
      <c r="G63" s="2" t="inlineStr"/>
      <c r="H63" s="2" t="inlineStr">
        <is>
          <t>High</t>
        </is>
      </c>
      <c r="I63" s="2" t="inlineStr"/>
      <c r="J63" s="2" t="inlineStr">
        <is>
          <t>Peer-reviewed Lebanese HD cohort/trial identified the hospital as a participating HD site; ownership not inferred.</t>
        </is>
      </c>
      <c r="K63" s="2" t="inlineStr">
        <is>
          <t>https://pmc.ncbi.nlm.nih.gov/articles/PMC7912967/</t>
        </is>
      </c>
      <c r="L63" s="2" t="inlineStr">
        <is>
          <t>OBSERVED</t>
        </is>
      </c>
      <c r="M63" s="2" t="inlineStr">
        <is>
          <t>SOURCE-VERIFIED HD SERVICE; CURRENT STATUS SHOULD BE RECHECKED WHERE SOURCE IS HISTORICAL</t>
        </is>
      </c>
      <c r="N63" s="2" t="inlineStr">
        <is>
          <t>SRC-WEB-046</t>
        </is>
      </c>
    </row>
    <row r="64">
      <c r="A64" s="2" t="inlineStr">
        <is>
          <t>Lebanon</t>
        </is>
      </c>
      <c r="B64" s="2" t="inlineStr">
        <is>
          <t>Hammoud Hospital University Medical Center</t>
        </is>
      </c>
      <c r="C64" s="2" t="inlineStr">
        <is>
          <t>Sidon</t>
        </is>
      </c>
      <c r="D64" s="2" t="inlineStr">
        <is>
          <t>Unknown</t>
        </is>
      </c>
      <c r="E64" s="2" t="inlineStr">
        <is>
          <t>Yes</t>
        </is>
      </c>
      <c r="F64" s="2" t="inlineStr">
        <is>
          <t>Yes</t>
        </is>
      </c>
      <c r="G64" s="2" t="inlineStr"/>
      <c r="H64" s="2" t="inlineStr">
        <is>
          <t>High</t>
        </is>
      </c>
      <c r="I64" s="2" t="inlineStr"/>
      <c r="J64" s="2" t="inlineStr">
        <is>
          <t>Peer-reviewed Lebanese HD cohort/trial identified the hospital as a participating HD site; ownership not inferred.</t>
        </is>
      </c>
      <c r="K64" s="2" t="inlineStr">
        <is>
          <t>https://pmc.ncbi.nlm.nih.gov/articles/PMC7912967/;https://pmc.ncbi.nlm.nih.gov/articles/PMC11972488/</t>
        </is>
      </c>
      <c r="L64" s="2" t="inlineStr">
        <is>
          <t>OBSERVED</t>
        </is>
      </c>
      <c r="M64" s="2" t="inlineStr">
        <is>
          <t>SOURCE-VERIFIED HD SERVICE; CURRENT STATUS SHOULD BE RECHECKED WHERE SOURCE IS HISTORICAL</t>
        </is>
      </c>
      <c r="N64" s="2" t="inlineStr">
        <is>
          <t>SRC-WEB-046;SRC-WEB-047</t>
        </is>
      </c>
    </row>
    <row r="65">
      <c r="A65" s="2" t="inlineStr">
        <is>
          <t>Lebanon</t>
        </is>
      </c>
      <c r="B65" s="2" t="inlineStr">
        <is>
          <t>FMC Hospital</t>
        </is>
      </c>
      <c r="C65" s="2" t="inlineStr">
        <is>
          <t>Mejdlaya</t>
        </is>
      </c>
      <c r="D65" s="2" t="inlineStr">
        <is>
          <t>Unknown</t>
        </is>
      </c>
      <c r="E65" s="2" t="inlineStr">
        <is>
          <t>Yes</t>
        </is>
      </c>
      <c r="F65" s="2" t="inlineStr">
        <is>
          <t>Yes</t>
        </is>
      </c>
      <c r="G65" s="2" t="inlineStr"/>
      <c r="H65" s="2" t="inlineStr">
        <is>
          <t>High</t>
        </is>
      </c>
      <c r="I65" s="2" t="inlineStr"/>
      <c r="J65" s="2" t="inlineStr">
        <is>
          <t>Peer-reviewed Lebanese HD cohort/trial identified the hospital as a participating HD site; ownership not inferred.</t>
        </is>
      </c>
      <c r="K65" s="2" t="inlineStr">
        <is>
          <t>https://pmc.ncbi.nlm.nih.gov/articles/PMC7912967/</t>
        </is>
      </c>
      <c r="L65" s="2" t="inlineStr">
        <is>
          <t>OBSERVED</t>
        </is>
      </c>
      <c r="M65" s="2" t="inlineStr">
        <is>
          <t>SOURCE-VERIFIED HD SERVICE; CURRENT STATUS SHOULD BE RECHECKED WHERE SOURCE IS HISTORICAL</t>
        </is>
      </c>
      <c r="N65" s="2" t="inlineStr">
        <is>
          <t>SRC-WEB-046</t>
        </is>
      </c>
    </row>
    <row r="66">
      <c r="A66" s="2" t="inlineStr">
        <is>
          <t>Lebanon</t>
        </is>
      </c>
      <c r="B66" s="2" t="inlineStr">
        <is>
          <t>Sahel Hospital</t>
        </is>
      </c>
      <c r="C66" s="2" t="inlineStr">
        <is>
          <t>Haret Hreik</t>
        </is>
      </c>
      <c r="D66" s="2" t="inlineStr">
        <is>
          <t>Unknown</t>
        </is>
      </c>
      <c r="E66" s="2" t="inlineStr">
        <is>
          <t>Yes</t>
        </is>
      </c>
      <c r="F66" s="2" t="inlineStr">
        <is>
          <t>Yes</t>
        </is>
      </c>
      <c r="G66" s="2" t="inlineStr"/>
      <c r="H66" s="2" t="inlineStr">
        <is>
          <t>High</t>
        </is>
      </c>
      <c r="I66" s="2" t="inlineStr"/>
      <c r="J66" s="2" t="inlineStr">
        <is>
          <t>Peer-reviewed Lebanese HD cohort/trial identified the hospital as a participating HD site; ownership not inferred.</t>
        </is>
      </c>
      <c r="K66" s="2" t="inlineStr">
        <is>
          <t>https://pmc.ncbi.nlm.nih.gov/articles/PMC7912967/</t>
        </is>
      </c>
      <c r="L66" s="2" t="inlineStr">
        <is>
          <t>OBSERVED</t>
        </is>
      </c>
      <c r="M66" s="2" t="inlineStr">
        <is>
          <t>SOURCE-VERIFIED HD SERVICE; CURRENT STATUS SHOULD BE RECHECKED WHERE SOURCE IS HISTORICAL</t>
        </is>
      </c>
      <c r="N66" s="2" t="inlineStr">
        <is>
          <t>SRC-WEB-046</t>
        </is>
      </c>
    </row>
    <row r="67">
      <c r="A67" s="2" t="inlineStr">
        <is>
          <t>Lebanon</t>
        </is>
      </c>
      <c r="B67" s="2" t="inlineStr">
        <is>
          <t>Beit Chabeb Hospital</t>
        </is>
      </c>
      <c r="C67" s="2" t="inlineStr">
        <is>
          <t>Beit Chabeb</t>
        </is>
      </c>
      <c r="D67" s="2" t="inlineStr">
        <is>
          <t>Unknown</t>
        </is>
      </c>
      <c r="E67" s="2" t="inlineStr">
        <is>
          <t>Yes</t>
        </is>
      </c>
      <c r="F67" s="2" t="inlineStr">
        <is>
          <t>Yes</t>
        </is>
      </c>
      <c r="G67" s="2" t="inlineStr"/>
      <c r="H67" s="2" t="inlineStr">
        <is>
          <t>High</t>
        </is>
      </c>
      <c r="I67" s="2" t="inlineStr"/>
      <c r="J67" s="2" t="inlineStr">
        <is>
          <t>Peer-reviewed Lebanese HD cohort/trial identified the hospital as a participating HD site; ownership not inferred.</t>
        </is>
      </c>
      <c r="K67" s="2" t="inlineStr">
        <is>
          <t>https://pmc.ncbi.nlm.nih.gov/articles/PMC7912967/</t>
        </is>
      </c>
      <c r="L67" s="2" t="inlineStr">
        <is>
          <t>OBSERVED</t>
        </is>
      </c>
      <c r="M67" s="2" t="inlineStr">
        <is>
          <t>SOURCE-VERIFIED HD SERVICE; CURRENT STATUS SHOULD BE RECHECKED WHERE SOURCE IS HISTORICAL</t>
        </is>
      </c>
      <c r="N67" s="2" t="inlineStr">
        <is>
          <t>SRC-WEB-046</t>
        </is>
      </c>
    </row>
    <row r="68">
      <c r="A68" s="2" t="inlineStr">
        <is>
          <t>Lebanon</t>
        </is>
      </c>
      <c r="B68" s="2" t="inlineStr">
        <is>
          <t>Saint-Georges Orthodoxe Hospital</t>
        </is>
      </c>
      <c r="C68" s="2" t="inlineStr">
        <is>
          <t>Beirut</t>
        </is>
      </c>
      <c r="D68" s="2" t="inlineStr">
        <is>
          <t>Unknown</t>
        </is>
      </c>
      <c r="E68" s="2" t="inlineStr">
        <is>
          <t>Yes</t>
        </is>
      </c>
      <c r="F68" s="2" t="inlineStr">
        <is>
          <t>Yes</t>
        </is>
      </c>
      <c r="G68" s="2" t="inlineStr"/>
      <c r="H68" s="2" t="inlineStr">
        <is>
          <t>High</t>
        </is>
      </c>
      <c r="I68" s="2" t="inlineStr"/>
      <c r="J68" s="2" t="inlineStr">
        <is>
          <t>Peer-reviewed Lebanese HD cohort/trial identified the hospital as a participating HD site; ownership not inferred.</t>
        </is>
      </c>
      <c r="K68" s="2" t="inlineStr">
        <is>
          <t>https://pmc.ncbi.nlm.nih.gov/articles/PMC7912967/</t>
        </is>
      </c>
      <c r="L68" s="2" t="inlineStr">
        <is>
          <t>OBSERVED</t>
        </is>
      </c>
      <c r="M68" s="2" t="inlineStr">
        <is>
          <t>SOURCE-VERIFIED HD SERVICE; CURRENT STATUS SHOULD BE RECHECKED WHERE SOURCE IS HISTORICAL</t>
        </is>
      </c>
      <c r="N68" s="2" t="inlineStr">
        <is>
          <t>SRC-WEB-046</t>
        </is>
      </c>
    </row>
    <row r="69">
      <c r="A69" s="2" t="inlineStr">
        <is>
          <t>Lebanon</t>
        </is>
      </c>
      <c r="B69" s="2" t="inlineStr">
        <is>
          <t>Rahal Hospital</t>
        </is>
      </c>
      <c r="C69" s="2" t="inlineStr">
        <is>
          <t>Akkar</t>
        </is>
      </c>
      <c r="D69" s="2" t="inlineStr">
        <is>
          <t>Unknown</t>
        </is>
      </c>
      <c r="E69" s="2" t="inlineStr">
        <is>
          <t>Yes</t>
        </is>
      </c>
      <c r="F69" s="2" t="inlineStr">
        <is>
          <t>Yes</t>
        </is>
      </c>
      <c r="G69" s="2" t="inlineStr"/>
      <c r="H69" s="2" t="inlineStr">
        <is>
          <t>High</t>
        </is>
      </c>
      <c r="I69" s="2" t="inlineStr"/>
      <c r="J69" s="2" t="inlineStr">
        <is>
          <t>Peer-reviewed Lebanese HD cohort/trial identified the hospital as a participating HD site; ownership not inferred.</t>
        </is>
      </c>
      <c r="K69" s="2" t="inlineStr">
        <is>
          <t>https://pmc.ncbi.nlm.nih.gov/articles/PMC7912967/</t>
        </is>
      </c>
      <c r="L69" s="2" t="inlineStr">
        <is>
          <t>OBSERVED</t>
        </is>
      </c>
      <c r="M69" s="2" t="inlineStr">
        <is>
          <t>SOURCE-VERIFIED HD SERVICE; CURRENT STATUS SHOULD BE RECHECKED WHERE SOURCE IS HISTORICAL</t>
        </is>
      </c>
      <c r="N69" s="2" t="inlineStr">
        <is>
          <t>SRC-WEB-046</t>
        </is>
      </c>
    </row>
    <row r="70">
      <c r="A70" s="2" t="inlineStr">
        <is>
          <t>Lebanon</t>
        </is>
      </c>
      <c r="B70" s="2" t="inlineStr">
        <is>
          <t>Jabal Amel Hospital</t>
        </is>
      </c>
      <c r="C70" s="2" t="inlineStr">
        <is>
          <t>Tyre</t>
        </is>
      </c>
      <c r="D70" s="2" t="inlineStr">
        <is>
          <t>Unknown</t>
        </is>
      </c>
      <c r="E70" s="2" t="inlineStr">
        <is>
          <t>Yes</t>
        </is>
      </c>
      <c r="F70" s="2" t="inlineStr">
        <is>
          <t>Yes</t>
        </is>
      </c>
      <c r="G70" s="2" t="inlineStr"/>
      <c r="H70" s="2" t="inlineStr">
        <is>
          <t>High</t>
        </is>
      </c>
      <c r="I70" s="2" t="inlineStr"/>
      <c r="J70" s="2" t="inlineStr">
        <is>
          <t>Peer-reviewed Lebanese HD cohort/trial identified the hospital as a participating HD site; ownership not inferred.</t>
        </is>
      </c>
      <c r="K70" s="2" t="inlineStr">
        <is>
          <t>https://pmc.ncbi.nlm.nih.gov/articles/PMC7912967/</t>
        </is>
      </c>
      <c r="L70" s="2" t="inlineStr">
        <is>
          <t>OBSERVED</t>
        </is>
      </c>
      <c r="M70" s="2" t="inlineStr">
        <is>
          <t>SOURCE-VERIFIED HD SERVICE; CURRENT STATUS SHOULD BE RECHECKED WHERE SOURCE IS HISTORICAL</t>
        </is>
      </c>
      <c r="N70" s="2" t="inlineStr">
        <is>
          <t>SRC-WEB-046</t>
        </is>
      </c>
    </row>
    <row r="71">
      <c r="A71" s="2" t="inlineStr">
        <is>
          <t>Lebanon</t>
        </is>
      </c>
      <c r="B71" s="2" t="inlineStr">
        <is>
          <t>Dinnieh Hospital</t>
        </is>
      </c>
      <c r="C71" s="2" t="inlineStr">
        <is>
          <t>Dinnieh</t>
        </is>
      </c>
      <c r="D71" s="2" t="inlineStr">
        <is>
          <t>Unknown</t>
        </is>
      </c>
      <c r="E71" s="2" t="inlineStr">
        <is>
          <t>Yes</t>
        </is>
      </c>
      <c r="F71" s="2" t="inlineStr">
        <is>
          <t>Yes</t>
        </is>
      </c>
      <c r="G71" s="2" t="inlineStr"/>
      <c r="H71" s="2" t="inlineStr">
        <is>
          <t>High</t>
        </is>
      </c>
      <c r="I71" s="2" t="inlineStr"/>
      <c r="J71" s="2" t="inlineStr">
        <is>
          <t>Peer-reviewed Lebanese HD cohort/trial identified the hospital as a participating HD site; ownership not inferred.</t>
        </is>
      </c>
      <c r="K71" s="2" t="inlineStr">
        <is>
          <t>https://pmc.ncbi.nlm.nih.gov/articles/PMC7912967/</t>
        </is>
      </c>
      <c r="L71" s="2" t="inlineStr">
        <is>
          <t>OBSERVED</t>
        </is>
      </c>
      <c r="M71" s="2" t="inlineStr">
        <is>
          <t>SOURCE-VERIFIED HD SERVICE; CURRENT STATUS SHOULD BE RECHECKED WHERE SOURCE IS HISTORICAL</t>
        </is>
      </c>
      <c r="N71" s="2" t="inlineStr">
        <is>
          <t>SRC-WEB-046</t>
        </is>
      </c>
    </row>
    <row r="72">
      <c r="A72" s="2" t="inlineStr">
        <is>
          <t>Lebanon</t>
        </is>
      </c>
      <c r="B72" s="2" t="inlineStr">
        <is>
          <t>Haroun Hospital</t>
        </is>
      </c>
      <c r="C72" s="2" t="inlineStr">
        <is>
          <t>Zalka</t>
        </is>
      </c>
      <c r="D72" s="2" t="inlineStr">
        <is>
          <t>Unknown</t>
        </is>
      </c>
      <c r="E72" s="2" t="inlineStr">
        <is>
          <t>Yes</t>
        </is>
      </c>
      <c r="F72" s="2" t="inlineStr">
        <is>
          <t>Yes</t>
        </is>
      </c>
      <c r="G72" s="2" t="inlineStr"/>
      <c r="H72" s="2" t="inlineStr">
        <is>
          <t>High</t>
        </is>
      </c>
      <c r="I72" s="2" t="inlineStr"/>
      <c r="J72" s="2" t="inlineStr">
        <is>
          <t>Peer-reviewed Lebanese HD cohort/trial identified the hospital as a participating HD site; ownership not inferred.</t>
        </is>
      </c>
      <c r="K72" s="2" t="inlineStr">
        <is>
          <t>https://pmc.ncbi.nlm.nih.gov/articles/PMC7912967/</t>
        </is>
      </c>
      <c r="L72" s="2" t="inlineStr">
        <is>
          <t>OBSERVED</t>
        </is>
      </c>
      <c r="M72" s="2" t="inlineStr">
        <is>
          <t>SOURCE-VERIFIED HD SERVICE; CURRENT STATUS SHOULD BE RECHECKED WHERE SOURCE IS HISTORICAL</t>
        </is>
      </c>
      <c r="N72" s="2" t="inlineStr">
        <is>
          <t>SRC-WEB-046</t>
        </is>
      </c>
    </row>
    <row r="73">
      <c r="A73" s="2" t="inlineStr">
        <is>
          <t>Lebanon</t>
        </is>
      </c>
      <c r="B73" s="2" t="inlineStr">
        <is>
          <t>Centre Hospitalier Universitaire Notre Dame de Secours</t>
        </is>
      </c>
      <c r="C73" s="2" t="inlineStr">
        <is>
          <t>Byblos</t>
        </is>
      </c>
      <c r="D73" s="2" t="inlineStr">
        <is>
          <t>Unknown</t>
        </is>
      </c>
      <c r="E73" s="2" t="inlineStr">
        <is>
          <t>Yes</t>
        </is>
      </c>
      <c r="F73" s="2" t="inlineStr">
        <is>
          <t>Yes</t>
        </is>
      </c>
      <c r="G73" s="2" t="inlineStr"/>
      <c r="H73" s="2" t="inlineStr">
        <is>
          <t>High</t>
        </is>
      </c>
      <c r="I73" s="2" t="inlineStr"/>
      <c r="J73" s="2" t="inlineStr">
        <is>
          <t>Peer-reviewed Lebanese HD cohort/trial identified the hospital as a participating HD site; ownership not inferred.</t>
        </is>
      </c>
      <c r="K73" s="2" t="inlineStr">
        <is>
          <t>https://pmc.ncbi.nlm.nih.gov/articles/PMC7912967/</t>
        </is>
      </c>
      <c r="L73" s="2" t="inlineStr">
        <is>
          <t>OBSERVED</t>
        </is>
      </c>
      <c r="M73" s="2" t="inlineStr">
        <is>
          <t>SOURCE-VERIFIED HD SERVICE; CURRENT STATUS SHOULD BE RECHECKED WHERE SOURCE IS HISTORICAL</t>
        </is>
      </c>
      <c r="N73" s="2" t="inlineStr">
        <is>
          <t>SRC-WEB-046</t>
        </is>
      </c>
    </row>
    <row r="74">
      <c r="A74" s="2" t="inlineStr">
        <is>
          <t>Lebanon</t>
        </is>
      </c>
      <c r="B74" s="2" t="inlineStr">
        <is>
          <t>Sacre-Coeur Hospital</t>
        </is>
      </c>
      <c r="C74" s="2" t="inlineStr">
        <is>
          <t>Baabda</t>
        </is>
      </c>
      <c r="D74" s="2" t="inlineStr">
        <is>
          <t>Unknown</t>
        </is>
      </c>
      <c r="E74" s="2" t="inlineStr">
        <is>
          <t>Yes</t>
        </is>
      </c>
      <c r="F74" s="2" t="inlineStr">
        <is>
          <t>Yes</t>
        </is>
      </c>
      <c r="G74" s="2" t="inlineStr"/>
      <c r="H74" s="2" t="inlineStr">
        <is>
          <t>High</t>
        </is>
      </c>
      <c r="I74" s="2" t="inlineStr"/>
      <c r="J74" s="2" t="inlineStr">
        <is>
          <t>Peer-reviewed Lebanese HD cohort/trial identified the hospital as a participating HD site; ownership not inferred.</t>
        </is>
      </c>
      <c r="K74" s="2" t="inlineStr">
        <is>
          <t>https://pmc.ncbi.nlm.nih.gov/articles/PMC7912967/</t>
        </is>
      </c>
      <c r="L74" s="2" t="inlineStr">
        <is>
          <t>OBSERVED</t>
        </is>
      </c>
      <c r="M74" s="2" t="inlineStr">
        <is>
          <t>SOURCE-VERIFIED HD SERVICE; CURRENT STATUS SHOULD BE RECHECKED WHERE SOURCE IS HISTORICAL</t>
        </is>
      </c>
      <c r="N74" s="2" t="inlineStr">
        <is>
          <t>SRC-WEB-046</t>
        </is>
      </c>
    </row>
    <row r="75">
      <c r="A75" s="2" t="inlineStr">
        <is>
          <t>Lebanon</t>
        </is>
      </c>
      <c r="B75" s="2" t="inlineStr">
        <is>
          <t>Middle-East Institute of Health</t>
        </is>
      </c>
      <c r="C75" s="2" t="inlineStr">
        <is>
          <t>Bsalim</t>
        </is>
      </c>
      <c r="D75" s="2" t="inlineStr">
        <is>
          <t>Unknown</t>
        </is>
      </c>
      <c r="E75" s="2" t="inlineStr">
        <is>
          <t>Yes</t>
        </is>
      </c>
      <c r="F75" s="2" t="inlineStr">
        <is>
          <t>Yes</t>
        </is>
      </c>
      <c r="G75" s="2" t="inlineStr"/>
      <c r="H75" s="2" t="inlineStr">
        <is>
          <t>High</t>
        </is>
      </c>
      <c r="I75" s="2" t="inlineStr"/>
      <c r="J75" s="2" t="inlineStr">
        <is>
          <t>Peer-reviewed Lebanese HD cohort/trial identified the hospital as a participating HD site; ownership not inferred.</t>
        </is>
      </c>
      <c r="K75" s="2" t="inlineStr">
        <is>
          <t>https://pmc.ncbi.nlm.nih.gov/articles/PMC7912967/</t>
        </is>
      </c>
      <c r="L75" s="2" t="inlineStr">
        <is>
          <t>OBSERVED</t>
        </is>
      </c>
      <c r="M75" s="2" t="inlineStr">
        <is>
          <t>SOURCE-VERIFIED HD SERVICE; CURRENT STATUS SHOULD BE RECHECKED WHERE SOURCE IS HISTORICAL</t>
        </is>
      </c>
      <c r="N75" s="2" t="inlineStr">
        <is>
          <t>SRC-WEB-046</t>
        </is>
      </c>
    </row>
    <row r="76">
      <c r="A76" s="2" t="inlineStr">
        <is>
          <t>Lebanon</t>
        </is>
      </c>
      <c r="B76" s="2" t="inlineStr">
        <is>
          <t>Saint-Joseph Hospital</t>
        </is>
      </c>
      <c r="C76" s="2" t="inlineStr">
        <is>
          <t>Dora</t>
        </is>
      </c>
      <c r="D76" s="2" t="inlineStr">
        <is>
          <t>Unknown</t>
        </is>
      </c>
      <c r="E76" s="2" t="inlineStr">
        <is>
          <t>Yes</t>
        </is>
      </c>
      <c r="F76" s="2" t="inlineStr">
        <is>
          <t>Yes</t>
        </is>
      </c>
      <c r="G76" s="2" t="inlineStr"/>
      <c r="H76" s="2" t="inlineStr">
        <is>
          <t>High</t>
        </is>
      </c>
      <c r="I76" s="2" t="inlineStr"/>
      <c r="J76" s="2" t="inlineStr">
        <is>
          <t>Peer-reviewed Lebanese HD cohort/trial identified the hospital as a participating HD site; ownership not inferred.</t>
        </is>
      </c>
      <c r="K76" s="2" t="inlineStr">
        <is>
          <t>https://pmc.ncbi.nlm.nih.gov/articles/PMC7912967/</t>
        </is>
      </c>
      <c r="L76" s="2" t="inlineStr">
        <is>
          <t>OBSERVED</t>
        </is>
      </c>
      <c r="M76" s="2" t="inlineStr">
        <is>
          <t>SOURCE-VERIFIED HD SERVICE; CURRENT STATUS SHOULD BE RECHECKED WHERE SOURCE IS HISTORICAL</t>
        </is>
      </c>
      <c r="N76" s="2" t="inlineStr">
        <is>
          <t>SRC-WEB-046</t>
        </is>
      </c>
    </row>
    <row r="77">
      <c r="A77" s="2" t="inlineStr">
        <is>
          <t>Lebanon</t>
        </is>
      </c>
      <c r="B77" s="2" t="inlineStr">
        <is>
          <t>Bellevue Medical Center</t>
        </is>
      </c>
      <c r="C77" s="2" t="inlineStr">
        <is>
          <t>Mansourieh</t>
        </is>
      </c>
      <c r="D77" s="2" t="inlineStr">
        <is>
          <t>Unknown</t>
        </is>
      </c>
      <c r="E77" s="2" t="inlineStr">
        <is>
          <t>Yes</t>
        </is>
      </c>
      <c r="F77" s="2" t="inlineStr">
        <is>
          <t>Yes</t>
        </is>
      </c>
      <c r="G77" s="2" t="inlineStr"/>
      <c r="H77" s="2" t="inlineStr">
        <is>
          <t>High</t>
        </is>
      </c>
      <c r="I77" s="2" t="inlineStr"/>
      <c r="J77" s="2" t="inlineStr">
        <is>
          <t>Peer-reviewed Lebanese HD cohort/trial identified the hospital as a participating HD site; ownership not inferred.</t>
        </is>
      </c>
      <c r="K77" s="2" t="inlineStr">
        <is>
          <t>https://pmc.ncbi.nlm.nih.gov/articles/PMC7912967/;https://pmc.ncbi.nlm.nih.gov/articles/PMC11972488/;https://pmc.ncbi.nlm.nih.gov/articles/PMC9615394/</t>
        </is>
      </c>
      <c r="L77" s="2" t="inlineStr">
        <is>
          <t>OBSERVED</t>
        </is>
      </c>
      <c r="M77" s="2" t="inlineStr">
        <is>
          <t>SOURCE-VERIFIED HD SERVICE; CURRENT STATUS SHOULD BE RECHECKED WHERE SOURCE IS HISTORICAL</t>
        </is>
      </c>
      <c r="N77" s="2" t="inlineStr">
        <is>
          <t>SRC-WEB-046;SRC-WEB-047;SRC-WEB-048</t>
        </is>
      </c>
    </row>
    <row r="78">
      <c r="A78" s="2" t="inlineStr">
        <is>
          <t>Lebanon</t>
        </is>
      </c>
      <c r="B78" s="2" t="inlineStr">
        <is>
          <t>Hayek Hospital</t>
        </is>
      </c>
      <c r="C78" s="2" t="inlineStr">
        <is>
          <t>Beit El Chaar</t>
        </is>
      </c>
      <c r="D78" s="2" t="inlineStr">
        <is>
          <t>Unknown</t>
        </is>
      </c>
      <c r="E78" s="2" t="inlineStr">
        <is>
          <t>Yes</t>
        </is>
      </c>
      <c r="F78" s="2" t="inlineStr">
        <is>
          <t>Yes</t>
        </is>
      </c>
      <c r="G78" s="2" t="inlineStr"/>
      <c r="H78" s="2" t="inlineStr">
        <is>
          <t>High</t>
        </is>
      </c>
      <c r="I78" s="2" t="inlineStr"/>
      <c r="J78" s="2" t="inlineStr">
        <is>
          <t>Peer-reviewed Lebanese HD cohort/trial identified the hospital as a participating HD site; ownership not inferred.</t>
        </is>
      </c>
      <c r="K78" s="2" t="inlineStr">
        <is>
          <t>https://pmc.ncbi.nlm.nih.gov/articles/PMC7912967/</t>
        </is>
      </c>
      <c r="L78" s="2" t="inlineStr">
        <is>
          <t>OBSERVED</t>
        </is>
      </c>
      <c r="M78" s="2" t="inlineStr">
        <is>
          <t>SOURCE-VERIFIED HD SERVICE; CURRENT STATUS SHOULD BE RECHECKED WHERE SOURCE IS HISTORICAL</t>
        </is>
      </c>
      <c r="N78" s="2" t="inlineStr">
        <is>
          <t>SRC-WEB-046</t>
        </is>
      </c>
    </row>
    <row r="79">
      <c r="A79" s="2" t="inlineStr">
        <is>
          <t>Lebanon</t>
        </is>
      </c>
      <c r="B79" s="2" t="inlineStr">
        <is>
          <t>Orange Nassau Hospital</t>
        </is>
      </c>
      <c r="C79" s="2" t="inlineStr">
        <is>
          <t>Tripoli</t>
        </is>
      </c>
      <c r="D79" s="2" t="inlineStr">
        <is>
          <t>Unknown</t>
        </is>
      </c>
      <c r="E79" s="2" t="inlineStr">
        <is>
          <t>Yes</t>
        </is>
      </c>
      <c r="F79" s="2" t="inlineStr">
        <is>
          <t>Yes</t>
        </is>
      </c>
      <c r="G79" s="2" t="inlineStr"/>
      <c r="H79" s="2" t="inlineStr">
        <is>
          <t>High</t>
        </is>
      </c>
      <c r="I79" s="2" t="inlineStr"/>
      <c r="J79" s="2" t="inlineStr">
        <is>
          <t>Peer-reviewed Lebanese HD cohort/trial identified the hospital as a participating HD site; ownership not inferred.</t>
        </is>
      </c>
      <c r="K79" s="2" t="inlineStr">
        <is>
          <t>https://pmc.ncbi.nlm.nih.gov/articles/PMC11972488/</t>
        </is>
      </c>
      <c r="L79" s="2" t="inlineStr">
        <is>
          <t>OBSERVED</t>
        </is>
      </c>
      <c r="M79" s="2" t="inlineStr">
        <is>
          <t>SOURCE-VERIFIED HD SERVICE; CURRENT STATUS SHOULD BE RECHECKED WHERE SOURCE IS HISTORICAL</t>
        </is>
      </c>
      <c r="N79" s="2" t="inlineStr">
        <is>
          <t>SRC-WEB-047</t>
        </is>
      </c>
    </row>
    <row r="80">
      <c r="A80" s="2" t="inlineStr">
        <is>
          <t>Lebanon</t>
        </is>
      </c>
      <c r="B80" s="2" t="inlineStr">
        <is>
          <t>Islamic Charity Hospital</t>
        </is>
      </c>
      <c r="C80" s="2" t="inlineStr">
        <is>
          <t>Tripoli</t>
        </is>
      </c>
      <c r="D80" s="2" t="inlineStr">
        <is>
          <t>Unknown</t>
        </is>
      </c>
      <c r="E80" s="2" t="inlineStr">
        <is>
          <t>Yes</t>
        </is>
      </c>
      <c r="F80" s="2" t="inlineStr">
        <is>
          <t>Yes</t>
        </is>
      </c>
      <c r="G80" s="2" t="inlineStr"/>
      <c r="H80" s="2" t="inlineStr">
        <is>
          <t>High</t>
        </is>
      </c>
      <c r="I80" s="2" t="inlineStr"/>
      <c r="J80" s="2" t="inlineStr">
        <is>
          <t>Peer-reviewed Lebanese HD cohort/trial identified the hospital as a participating HD site; ownership not inferred.</t>
        </is>
      </c>
      <c r="K80" s="2" t="inlineStr">
        <is>
          <t>https://pmc.ncbi.nlm.nih.gov/articles/PMC11972488/</t>
        </is>
      </c>
      <c r="L80" s="2" t="inlineStr">
        <is>
          <t>OBSERVED</t>
        </is>
      </c>
      <c r="M80" s="2" t="inlineStr">
        <is>
          <t>SOURCE-VERIFIED HD SERVICE; CURRENT STATUS SHOULD BE RECHECKED WHERE SOURCE IS HISTORICAL</t>
        </is>
      </c>
      <c r="N80" s="2" t="inlineStr">
        <is>
          <t>SRC-WEB-047</t>
        </is>
      </c>
    </row>
    <row r="81">
      <c r="A81" s="2" t="inlineStr">
        <is>
          <t>Lebanon</t>
        </is>
      </c>
      <c r="B81" s="2" t="inlineStr">
        <is>
          <t>Saint-George Ajaltoun Hospital</t>
        </is>
      </c>
      <c r="C81" s="2" t="inlineStr">
        <is>
          <t>Ajaltoun</t>
        </is>
      </c>
      <c r="D81" s="2" t="inlineStr">
        <is>
          <t>Unknown</t>
        </is>
      </c>
      <c r="E81" s="2" t="inlineStr">
        <is>
          <t>Yes</t>
        </is>
      </c>
      <c r="F81" s="2" t="inlineStr">
        <is>
          <t>Yes</t>
        </is>
      </c>
      <c r="G81" s="2" t="inlineStr"/>
      <c r="H81" s="2" t="inlineStr">
        <is>
          <t>High</t>
        </is>
      </c>
      <c r="I81" s="2" t="inlineStr"/>
      <c r="J81" s="2" t="inlineStr">
        <is>
          <t>Peer-reviewed Lebanese HD cohort/trial identified the hospital as a participating HD site; ownership not inferred.</t>
        </is>
      </c>
      <c r="K81" s="2" t="inlineStr">
        <is>
          <t>https://pmc.ncbi.nlm.nih.gov/articles/PMC11972488/;https://pmc.ncbi.nlm.nih.gov/articles/PMC9615394/</t>
        </is>
      </c>
      <c r="L81" s="2" t="inlineStr">
        <is>
          <t>OBSERVED</t>
        </is>
      </c>
      <c r="M81" s="2" t="inlineStr">
        <is>
          <t>SOURCE-VERIFIED HD SERVICE; CURRENT STATUS SHOULD BE RECHECKED WHERE SOURCE IS HISTORICAL</t>
        </is>
      </c>
      <c r="N81" s="2" t="inlineStr">
        <is>
          <t>SRC-WEB-047;SRC-WEB-048</t>
        </is>
      </c>
    </row>
    <row r="82">
      <c r="A82" s="2" t="inlineStr">
        <is>
          <t>Lebanon</t>
        </is>
      </c>
      <c r="B82" s="2" t="inlineStr">
        <is>
          <t>Centre Hospitalier du Nord</t>
        </is>
      </c>
      <c r="C82" s="2" t="inlineStr">
        <is>
          <t>Zgharta</t>
        </is>
      </c>
      <c r="D82" s="2" t="inlineStr">
        <is>
          <t>Unknown</t>
        </is>
      </c>
      <c r="E82" s="2" t="inlineStr">
        <is>
          <t>Yes</t>
        </is>
      </c>
      <c r="F82" s="2" t="inlineStr">
        <is>
          <t>Yes</t>
        </is>
      </c>
      <c r="G82" s="2" t="inlineStr"/>
      <c r="H82" s="2" t="inlineStr">
        <is>
          <t>High</t>
        </is>
      </c>
      <c r="I82" s="2" t="inlineStr"/>
      <c r="J82" s="2" t="inlineStr">
        <is>
          <t>Peer-reviewed Lebanese HD cohort/trial identified the hospital as a participating HD site; ownership not inferred.</t>
        </is>
      </c>
      <c r="K82" s="2" t="inlineStr">
        <is>
          <t>https://pmc.ncbi.nlm.nih.gov/articles/PMC11972488/</t>
        </is>
      </c>
      <c r="L82" s="2" t="inlineStr">
        <is>
          <t>OBSERVED</t>
        </is>
      </c>
      <c r="M82" s="2" t="inlineStr">
        <is>
          <t>SOURCE-VERIFIED HD SERVICE; CURRENT STATUS SHOULD BE RECHECKED WHERE SOURCE IS HISTORICAL</t>
        </is>
      </c>
      <c r="N82" s="2" t="inlineStr">
        <is>
          <t>SRC-WEB-047</t>
        </is>
      </c>
    </row>
    <row r="83">
      <c r="A83" s="2" t="inlineStr">
        <is>
          <t>Lebanon</t>
        </is>
      </c>
      <c r="B83" s="2" t="inlineStr">
        <is>
          <t>Ain Wazein Medical Village</t>
        </is>
      </c>
      <c r="C83" s="2" t="inlineStr">
        <is>
          <t>Chouf</t>
        </is>
      </c>
      <c r="D83" s="2" t="inlineStr">
        <is>
          <t>Unknown</t>
        </is>
      </c>
      <c r="E83" s="2" t="inlineStr">
        <is>
          <t>Yes</t>
        </is>
      </c>
      <c r="F83" s="2" t="inlineStr">
        <is>
          <t>Yes</t>
        </is>
      </c>
      <c r="G83" s="2" t="inlineStr"/>
      <c r="H83" s="2" t="inlineStr">
        <is>
          <t>High</t>
        </is>
      </c>
      <c r="I83" s="2" t="inlineStr"/>
      <c r="J83" s="2" t="inlineStr">
        <is>
          <t>Peer-reviewed Lebanese HD cohort/trial identified the hospital as a participating HD site; ownership not inferred.</t>
        </is>
      </c>
      <c r="K83" s="2" t="inlineStr">
        <is>
          <t>https://pmc.ncbi.nlm.nih.gov/articles/PMC11972488/</t>
        </is>
      </c>
      <c r="L83" s="2" t="inlineStr">
        <is>
          <t>OBSERVED</t>
        </is>
      </c>
      <c r="M83" s="2" t="inlineStr">
        <is>
          <t>SOURCE-VERIFIED HD SERVICE; CURRENT STATUS SHOULD BE RECHECKED WHERE SOURCE IS HISTORICAL</t>
        </is>
      </c>
      <c r="N83" s="2" t="inlineStr">
        <is>
          <t>SRC-WEB-047</t>
        </is>
      </c>
    </row>
    <row r="84">
      <c r="A84" s="2" t="inlineStr">
        <is>
          <t>Lebanon</t>
        </is>
      </c>
      <c r="B84" s="2" t="inlineStr">
        <is>
          <t>Bhannes Hospital</t>
        </is>
      </c>
      <c r="C84" s="2" t="inlineStr">
        <is>
          <t>Bhannes</t>
        </is>
      </c>
      <c r="D84" s="2" t="inlineStr">
        <is>
          <t>Unknown</t>
        </is>
      </c>
      <c r="E84" s="2" t="inlineStr">
        <is>
          <t>Yes</t>
        </is>
      </c>
      <c r="F84" s="2" t="inlineStr">
        <is>
          <t>Yes</t>
        </is>
      </c>
      <c r="G84" s="2" t="inlineStr"/>
      <c r="H84" s="2" t="inlineStr">
        <is>
          <t>High</t>
        </is>
      </c>
      <c r="I84" s="2" t="inlineStr"/>
      <c r="J84" s="2" t="inlineStr">
        <is>
          <t>Peer-reviewed Lebanese HD cohort/trial identified the hospital as a participating HD site; ownership not inferred.</t>
        </is>
      </c>
      <c r="K84" s="2" t="inlineStr">
        <is>
          <t>https://pmc.ncbi.nlm.nih.gov/articles/PMC11972488/</t>
        </is>
      </c>
      <c r="L84" s="2" t="inlineStr">
        <is>
          <t>OBSERVED</t>
        </is>
      </c>
      <c r="M84" s="2" t="inlineStr">
        <is>
          <t>SOURCE-VERIFIED HD SERVICE; CURRENT STATUS SHOULD BE RECHECKED WHERE SOURCE IS HISTORICAL</t>
        </is>
      </c>
      <c r="N84" s="2" t="inlineStr">
        <is>
          <t>SRC-WEB-047</t>
        </is>
      </c>
    </row>
    <row r="85">
      <c r="A85" s="2" t="inlineStr">
        <is>
          <t>Lebanon</t>
        </is>
      </c>
      <c r="B85" s="2" t="inlineStr">
        <is>
          <t>Saint George Hospital University Medical Center</t>
        </is>
      </c>
      <c r="C85" s="2" t="inlineStr">
        <is>
          <t>Beirut</t>
        </is>
      </c>
      <c r="D85" s="2" t="inlineStr">
        <is>
          <t>Unknown</t>
        </is>
      </c>
      <c r="E85" s="2" t="inlineStr">
        <is>
          <t>Yes</t>
        </is>
      </c>
      <c r="F85" s="2" t="inlineStr">
        <is>
          <t>Yes</t>
        </is>
      </c>
      <c r="G85" s="2" t="inlineStr"/>
      <c r="H85" s="2" t="inlineStr">
        <is>
          <t>High</t>
        </is>
      </c>
      <c r="I85" s="2" t="inlineStr"/>
      <c r="J85" s="2" t="inlineStr">
        <is>
          <t>Peer-reviewed Lebanese HD cohort/trial identified the hospital as a participating HD site; ownership not inferred.</t>
        </is>
      </c>
      <c r="K85" s="2" t="inlineStr">
        <is>
          <t>https://pmc.ncbi.nlm.nih.gov/articles/PMC11972488/</t>
        </is>
      </c>
      <c r="L85" s="2" t="inlineStr">
        <is>
          <t>OBSERVED</t>
        </is>
      </c>
      <c r="M85" s="2" t="inlineStr">
        <is>
          <t>SOURCE-VERIFIED HD SERVICE; CURRENT STATUS SHOULD BE RECHECKED WHERE SOURCE IS HISTORICAL</t>
        </is>
      </c>
      <c r="N85" s="2" t="inlineStr">
        <is>
          <t>SRC-WEB-047</t>
        </is>
      </c>
    </row>
    <row r="86">
      <c r="A86" s="2" t="inlineStr">
        <is>
          <t>Iraq</t>
        </is>
      </c>
      <c r="B86" s="2" t="inlineStr">
        <is>
          <t>Al-Kindy Teaching Hospital</t>
        </is>
      </c>
      <c r="C86" s="2" t="inlineStr">
        <is>
          <t>Baghdad</t>
        </is>
      </c>
      <c r="D86" s="2" t="inlineStr">
        <is>
          <t>Unknown</t>
        </is>
      </c>
      <c r="E86" s="2" t="inlineStr">
        <is>
          <t>Yes</t>
        </is>
      </c>
      <c r="F86" s="2" t="inlineStr">
        <is>
          <t>Yes</t>
        </is>
      </c>
      <c r="G86" s="2" t="inlineStr"/>
      <c r="H86" s="2" t="inlineStr">
        <is>
          <t>High</t>
        </is>
      </c>
      <c r="I86" s="2" t="inlineStr"/>
      <c r="J86" s="2" t="inlineStr">
        <is>
          <t>Named in peer-reviewed Iraqi HD literature; ownership not inferred.</t>
        </is>
      </c>
      <c r="K86" s="2" t="inlineStr">
        <is>
          <t>https://pubmed.ncbi.nlm.nih.gov/21422648/</t>
        </is>
      </c>
      <c r="L86" s="2" t="inlineStr">
        <is>
          <t>OBSERVED</t>
        </is>
      </c>
      <c r="M86" s="2" t="inlineStr">
        <is>
          <t>SOURCE-VERIFIED HD SERVICE; CURRENT STATUS SHOULD BE RECHECKED WHERE SOURCE IS HISTORICAL</t>
        </is>
      </c>
      <c r="N86" s="2" t="inlineStr">
        <is>
          <t>SRC-WEB-051</t>
        </is>
      </c>
    </row>
    <row r="87">
      <c r="A87" s="2" t="inlineStr">
        <is>
          <t>Iraq</t>
        </is>
      </c>
      <c r="B87" s="2" t="inlineStr">
        <is>
          <t>Baghdad Teaching Hospital - Medical City</t>
        </is>
      </c>
      <c r="C87" s="2" t="inlineStr">
        <is>
          <t>Baghdad</t>
        </is>
      </c>
      <c r="D87" s="2" t="inlineStr">
        <is>
          <t>Unknown</t>
        </is>
      </c>
      <c r="E87" s="2" t="inlineStr">
        <is>
          <t>Yes</t>
        </is>
      </c>
      <c r="F87" s="2" t="inlineStr">
        <is>
          <t>Yes</t>
        </is>
      </c>
      <c r="G87" s="2" t="inlineStr"/>
      <c r="H87" s="2" t="inlineStr">
        <is>
          <t>High</t>
        </is>
      </c>
      <c r="I87" s="2" t="inlineStr"/>
      <c r="J87" s="2" t="inlineStr">
        <is>
          <t>Named in peer-reviewed Iraqi HD literature; ownership not inferred.</t>
        </is>
      </c>
      <c r="K87" s="2" t="inlineStr">
        <is>
          <t>https://iqnjm.com/index.php/homepage/article/view/187</t>
        </is>
      </c>
      <c r="L87" s="2" t="inlineStr">
        <is>
          <t>OBSERVED</t>
        </is>
      </c>
      <c r="M87" s="2" t="inlineStr">
        <is>
          <t>SOURCE-VERIFIED HD SERVICE; CURRENT STATUS SHOULD BE RECHECKED WHERE SOURCE IS HISTORICAL</t>
        </is>
      </c>
      <c r="N87" s="2" t="inlineStr">
        <is>
          <t>SRC-WEB-050</t>
        </is>
      </c>
    </row>
    <row r="88">
      <c r="A88" s="2" t="inlineStr">
        <is>
          <t>Iraq</t>
        </is>
      </c>
      <c r="B88" s="2" t="inlineStr">
        <is>
          <t>Alnuman Teaching Hospital</t>
        </is>
      </c>
      <c r="C88" s="2" t="inlineStr">
        <is>
          <t>Baghdad</t>
        </is>
      </c>
      <c r="D88" s="2" t="inlineStr">
        <is>
          <t>Unknown</t>
        </is>
      </c>
      <c r="E88" s="2" t="inlineStr">
        <is>
          <t>Yes</t>
        </is>
      </c>
      <c r="F88" s="2" t="inlineStr">
        <is>
          <t>Yes</t>
        </is>
      </c>
      <c r="G88" s="2" t="inlineStr"/>
      <c r="H88" s="2" t="inlineStr">
        <is>
          <t>High</t>
        </is>
      </c>
      <c r="I88" s="2" t="inlineStr"/>
      <c r="J88" s="2" t="inlineStr">
        <is>
          <t>Named in peer-reviewed Iraqi HD literature; ownership not inferred.</t>
        </is>
      </c>
      <c r="K88" s="2" t="inlineStr">
        <is>
          <t>https://iqnjm.com/index.php/homepage/article/view/187;https://pubmed.ncbi.nlm.nih.gov/21422648/</t>
        </is>
      </c>
      <c r="L88" s="2" t="inlineStr">
        <is>
          <t>OBSERVED</t>
        </is>
      </c>
      <c r="M88" s="2" t="inlineStr">
        <is>
          <t>SOURCE-VERIFIED HD SERVICE; CURRENT STATUS SHOULD BE RECHECKED WHERE SOURCE IS HISTORICAL</t>
        </is>
      </c>
      <c r="N88" s="2" t="inlineStr">
        <is>
          <t>SRC-WEB-050;SRC-WEB-051</t>
        </is>
      </c>
    </row>
    <row r="89">
      <c r="A89" s="2" t="inlineStr">
        <is>
          <t>Iraq</t>
        </is>
      </c>
      <c r="B89" s="2" t="inlineStr">
        <is>
          <t>Child Welfare Teaching Hospital</t>
        </is>
      </c>
      <c r="C89" s="2" t="inlineStr">
        <is>
          <t>Baghdad</t>
        </is>
      </c>
      <c r="D89" s="2" t="inlineStr">
        <is>
          <t>Unknown</t>
        </is>
      </c>
      <c r="E89" s="2" t="inlineStr">
        <is>
          <t>Yes</t>
        </is>
      </c>
      <c r="F89" s="2" t="inlineStr">
        <is>
          <t>Yes</t>
        </is>
      </c>
      <c r="G89" s="2" t="inlineStr"/>
      <c r="H89" s="2" t="inlineStr">
        <is>
          <t>High</t>
        </is>
      </c>
      <c r="I89" s="2" t="inlineStr"/>
      <c r="J89" s="2" t="inlineStr">
        <is>
          <t>Named in peer-reviewed Iraqi HD literature; ownership not inferred.</t>
        </is>
      </c>
      <c r="K89" s="2" t="inlineStr">
        <is>
          <t>https://iqnjm.com/index.php/homepage/article/view/187</t>
        </is>
      </c>
      <c r="L89" s="2" t="inlineStr">
        <is>
          <t>OBSERVED</t>
        </is>
      </c>
      <c r="M89" s="2" t="inlineStr">
        <is>
          <t>SOURCE-VERIFIED HD SERVICE; CURRENT STATUS SHOULD BE RECHECKED WHERE SOURCE IS HISTORICAL</t>
        </is>
      </c>
      <c r="N89" s="2" t="inlineStr">
        <is>
          <t>SRC-WEB-050</t>
        </is>
      </c>
    </row>
    <row r="90">
      <c r="A90" s="2" t="inlineStr">
        <is>
          <t>Iraq</t>
        </is>
      </c>
      <c r="B90" s="2" t="inlineStr">
        <is>
          <t>University of Baghdad Nephrology and Renal Transplantation Center</t>
        </is>
      </c>
      <c r="C90" s="2" t="inlineStr">
        <is>
          <t>Baghdad</t>
        </is>
      </c>
      <c r="D90" s="2" t="inlineStr">
        <is>
          <t>Unknown</t>
        </is>
      </c>
      <c r="E90" s="2" t="inlineStr">
        <is>
          <t>Yes</t>
        </is>
      </c>
      <c r="F90" s="2" t="inlineStr">
        <is>
          <t>Yes</t>
        </is>
      </c>
      <c r="G90" s="2" t="inlineStr"/>
      <c r="H90" s="2" t="inlineStr">
        <is>
          <t>High</t>
        </is>
      </c>
      <c r="I90" s="2" t="inlineStr"/>
      <c r="J90" s="2" t="inlineStr">
        <is>
          <t>Named in peer-reviewed Iraqi HD literature; ownership not inferred.</t>
        </is>
      </c>
      <c r="K90" s="2" t="inlineStr">
        <is>
          <t>https://iqnjm.com/index.php/homepage/article/view/187</t>
        </is>
      </c>
      <c r="L90" s="2" t="inlineStr">
        <is>
          <t>OBSERVED</t>
        </is>
      </c>
      <c r="M90" s="2" t="inlineStr">
        <is>
          <t>SOURCE-VERIFIED HD SERVICE; CURRENT STATUS SHOULD BE RECHECKED WHERE SOURCE IS HISTORICAL</t>
        </is>
      </c>
      <c r="N90" s="2" t="inlineStr">
        <is>
          <t>SRC-WEB-050</t>
        </is>
      </c>
    </row>
  </sheetData>
  <autoFilter ref="A1:N9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1" workbookViewId="0">
      <pane ySplit="1" topLeftCell="A2" activePane="bottomLeft" state="frozen"/>
      <selection pane="bottomLeft" activeCell="A1" sqref="A1"/>
      <selection pane="bottomLeft" activeCell="A1" sqref="A1"/>
    </sheetView>
  </sheetViews>
  <sheetFormatPr baseColWidth="8" defaultColWidth="9" defaultRowHeight="15"/>
  <cols>
    <col width="14" customWidth="1" min="1" max="1"/>
    <col width="13" customWidth="1" min="2" max="2"/>
    <col width="26" customWidth="1" min="3" max="3"/>
    <col width="31" customWidth="1" min="4" max="4"/>
    <col width="26" customWidth="1" min="5" max="5"/>
    <col width="19" customWidth="1" min="6" max="6"/>
    <col width="22" customWidth="1" min="7" max="7"/>
    <col width="16" customWidth="1" min="8" max="8"/>
    <col width="14" customWidth="1" min="9" max="10"/>
    <col width="45" customWidth="1" min="10" max="10"/>
    <col width="16" customWidth="1" min="11" max="11"/>
    <col width="45" customWidth="1" min="12" max="12"/>
  </cols>
  <sheetData>
    <row r="1">
      <c r="A1" s="8" t="inlineStr">
        <is>
          <t>Country</t>
        </is>
      </c>
      <c r="B1" s="8" t="inlineStr">
        <is>
          <t>City_Region</t>
        </is>
      </c>
      <c r="C1" s="8" t="inlineStr">
        <is>
          <t>HD_Patient_Concentration</t>
        </is>
      </c>
      <c r="D1" s="8" t="inlineStr">
        <is>
          <t>Dialysis_Center_Concentration</t>
        </is>
      </c>
      <c r="E1" s="8" t="inlineStr">
        <is>
          <t>Tertiary_Hospital_Factor</t>
        </is>
      </c>
      <c r="F1" s="8" t="inlineStr">
        <is>
          <t>Population_Factor</t>
        </is>
      </c>
      <c r="G1" s="8" t="inlineStr">
        <is>
          <t>Procurement_Activity</t>
        </is>
      </c>
      <c r="H1" s="8" t="inlineStr">
        <is>
          <t>Hot_Area_Score</t>
        </is>
      </c>
      <c r="I1" s="8" t="inlineStr">
        <is>
          <t>Score_Status</t>
        </is>
      </c>
      <c r="J1" s="8" t="inlineStr">
        <is>
          <t>Evidence_Source</t>
        </is>
      </c>
      <c r="K1" s="8" t="inlineStr">
        <is>
          <t>Evidence_Level</t>
        </is>
      </c>
      <c r="L1" s="8" t="inlineStr">
        <is>
          <t>Assumption_Note</t>
        </is>
      </c>
    </row>
    <row r="2">
      <c r="A2" s="2" t="inlineStr">
        <is>
          <t>Iraq</t>
        </is>
      </c>
      <c r="B2" s="2" t="inlineStr">
        <is>
          <t>Baghdad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>
        <is>
          <t>PARTIAL</t>
        </is>
      </c>
      <c r="J2" s="2" t="inlineStr">
        <is>
          <t>SRC-WEB-050;SRC-WEB-050;SRC-WEB-051;SRC-WEB-051</t>
        </is>
      </c>
      <c r="K2" s="2" t="inlineStr">
        <is>
          <t>OBSERVED</t>
        </is>
      </c>
      <c r="L2" s="2" t="inlineStr">
        <is>
          <t>Full weighted score withheld because country/city patient concentration, population concentration and procurement activity are not sufficiently verified.</t>
        </is>
      </c>
    </row>
    <row r="3">
      <c r="A3" s="2" t="inlineStr">
        <is>
          <t>Jordan</t>
        </is>
      </c>
      <c r="B3" s="2" t="inlineStr">
        <is>
          <t>Amman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>
        <is>
          <t>PARTIAL</t>
        </is>
      </c>
      <c r="J3" s="2" t="inlineStr">
        <is>
          <t>SRC-WEB-040;SRC-WEB-041;SRC-WEB-042;SRC-WEB-043;SRC-WEB-040;SRC-WEB-042;SRC-WEB-040;SRC-WEB-043;SRC-WEB-042;SRC-WEB-006</t>
        </is>
      </c>
      <c r="K3" s="2" t="inlineStr">
        <is>
          <t>OBSERVED</t>
        </is>
      </c>
      <c r="L3" s="2" t="inlineStr">
        <is>
          <t>Full weighted score withheld because country/city patient concentration, population concentration and procurement activity are not sufficiently verified.</t>
        </is>
      </c>
    </row>
    <row r="4">
      <c r="A4" s="2" t="inlineStr">
        <is>
          <t>Jordan</t>
        </is>
      </c>
      <c r="B4" s="2" t="inlineStr">
        <is>
          <t>Irbid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>
        <is>
          <t>PARTIAL</t>
        </is>
      </c>
      <c r="J4" s="2" t="inlineStr">
        <is>
          <t>SRC-WEB-040;SRC-WEB-041</t>
        </is>
      </c>
      <c r="K4" s="2" t="inlineStr">
        <is>
          <t>OBSERVED</t>
        </is>
      </c>
      <c r="L4" s="2" t="inlineStr">
        <is>
          <t>Full weighted score withheld because country/city patient concentration, population concentration and procurement activity are not sufficiently verified.</t>
        </is>
      </c>
    </row>
    <row r="5">
      <c r="A5" s="2" t="inlineStr">
        <is>
          <t>Kuwait</t>
        </is>
      </c>
      <c r="B5" s="2" t="inlineStr">
        <is>
          <t>Kuwait City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>
        <is>
          <t>PARTIAL</t>
        </is>
      </c>
      <c r="J5" s="2" t="inlineStr">
        <is>
          <t>SRC-WEB-027;SRC-WEB-027;SRC-WEB-028;SRC-WEB-028</t>
        </is>
      </c>
      <c r="K5" s="2" t="inlineStr">
        <is>
          <t>OBSERVED</t>
        </is>
      </c>
      <c r="L5" s="2" t="inlineStr">
        <is>
          <t>Full weighted score withheld because country/city patient concentration, population concentration and procurement activity are not sufficiently verified.</t>
        </is>
      </c>
    </row>
    <row r="6">
      <c r="A6" s="2" t="inlineStr">
        <is>
          <t>Lebanon</t>
        </is>
      </c>
      <c r="B6" s="2" t="inlineStr">
        <is>
          <t>Beirut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>
        <is>
          <t>PARTIAL</t>
        </is>
      </c>
      <c r="J6" s="2" t="inlineStr">
        <is>
          <t>SRC-WEB-046;SRC-WEB-047</t>
        </is>
      </c>
      <c r="K6" s="2" t="inlineStr">
        <is>
          <t>OBSERVED</t>
        </is>
      </c>
      <c r="L6" s="2" t="inlineStr">
        <is>
          <t>Full weighted score withheld because country/city patient concentration, population concentration and procurement activity are not sufficiently verified.</t>
        </is>
      </c>
    </row>
    <row r="7">
      <c r="A7" s="2" t="inlineStr">
        <is>
          <t>Lebanon</t>
        </is>
      </c>
      <c r="B7" s="2" t="inlineStr">
        <is>
          <t>Sidon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>
        <is>
          <t>PARTIAL</t>
        </is>
      </c>
      <c r="J7" s="2" t="inlineStr">
        <is>
          <t>SRC-WEB-046;SRC-WEB-046;SRC-WEB-047</t>
        </is>
      </c>
      <c r="K7" s="2" t="inlineStr">
        <is>
          <t>OBSERVED</t>
        </is>
      </c>
      <c r="L7" s="2" t="inlineStr">
        <is>
          <t>Full weighted score withheld because country/city patient concentration, population concentration and procurement activity are not sufficiently verified.</t>
        </is>
      </c>
    </row>
    <row r="8">
      <c r="A8" s="2" t="inlineStr">
        <is>
          <t>Lebanon</t>
        </is>
      </c>
      <c r="B8" s="2" t="inlineStr">
        <is>
          <t>Tripoli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>
        <is>
          <t>PARTIAL</t>
        </is>
      </c>
      <c r="J8" s="2" t="inlineStr">
        <is>
          <t>SRC-WEB-047</t>
        </is>
      </c>
      <c r="K8" s="2" t="inlineStr">
        <is>
          <t>OBSERVED</t>
        </is>
      </c>
      <c r="L8" s="2" t="inlineStr">
        <is>
          <t>Full weighted score withheld because country/city patient concentration, population concentration and procurement activity are not sufficiently verified.</t>
        </is>
      </c>
    </row>
    <row r="9">
      <c r="A9" s="2" t="inlineStr">
        <is>
          <t>Oman</t>
        </is>
      </c>
      <c r="B9" s="2" t="inlineStr">
        <is>
          <t>Muscat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>
        <is>
          <t>PARTIAL</t>
        </is>
      </c>
      <c r="J9" s="2" t="inlineStr">
        <is>
          <t>SRC-WEB-030;SRC-WEB-036;SRC-WEB-032;SRC-WEB-031</t>
        </is>
      </c>
      <c r="K9" s="2" t="inlineStr">
        <is>
          <t>OBSERVED</t>
        </is>
      </c>
      <c r="L9" s="2" t="inlineStr">
        <is>
          <t>Full weighted score withheld because country/city patient concentration, population concentration and procurement activity are not sufficiently verified.</t>
        </is>
      </c>
    </row>
    <row r="10">
      <c r="A10" s="2" t="inlineStr">
        <is>
          <t>Qatar</t>
        </is>
      </c>
      <c r="B10" s="2" t="inlineStr">
        <is>
          <t>Al Wakrah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>
        <is>
          <t>PARTIAL</t>
        </is>
      </c>
      <c r="J10" s="2" t="inlineStr">
        <is>
          <t>SRC-WEB-021;SRC-WEB-024;SRC-WEB-024</t>
        </is>
      </c>
      <c r="K10" s="2" t="inlineStr">
        <is>
          <t>OBSERVED</t>
        </is>
      </c>
      <c r="L10" s="2" t="inlineStr">
        <is>
          <t>Full weighted score withheld because country/city patient concentration, population concentration and procurement activity are not sufficiently verified.</t>
        </is>
      </c>
    </row>
    <row r="11">
      <c r="A11" s="2" t="inlineStr">
        <is>
          <t>Qatar</t>
        </is>
      </c>
      <c r="B11" s="2" t="inlineStr">
        <is>
          <t>Doha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>
        <is>
          <t>PARTIAL</t>
        </is>
      </c>
      <c r="J11" s="2" t="inlineStr">
        <is>
          <t>SRC-WEB-023;SRC-WEB-024;SRC-WEB-026</t>
        </is>
      </c>
      <c r="K11" s="2" t="inlineStr">
        <is>
          <t>OBSERVED</t>
        </is>
      </c>
      <c r="L11" s="2" t="inlineStr">
        <is>
          <t>Full weighted score withheld because country/city patient concentration, population concentration and procurement activity are not sufficiently verified.</t>
        </is>
      </c>
    </row>
    <row r="12">
      <c r="A12" s="2" t="inlineStr">
        <is>
          <t>Saudi Arabia</t>
        </is>
      </c>
      <c r="B12" s="2" t="inlineStr">
        <is>
          <t>Riyadh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>
        <is>
          <t>PARTIAL</t>
        </is>
      </c>
      <c r="J12" s="2" t="inlineStr">
        <is>
          <t>SRC-WEB-002;SRC-WEB-003;SRC-WEB-009</t>
        </is>
      </c>
      <c r="K12" s="2" t="inlineStr">
        <is>
          <t>OBSERVED</t>
        </is>
      </c>
      <c r="L12" s="2" t="inlineStr">
        <is>
          <t>Full weighted score withheld because country/city patient concentration, population concentration and procurement activity are not sufficiently verified.</t>
        </is>
      </c>
    </row>
    <row r="13">
      <c r="A13" s="2" t="inlineStr">
        <is>
          <t>UAE</t>
        </is>
      </c>
      <c r="B13" s="2" t="inlineStr">
        <is>
          <t>Abu Dhabi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>
        <is>
          <t>PARTIAL</t>
        </is>
      </c>
      <c r="J13" s="2" t="inlineStr">
        <is>
          <t>SRC-WEB-012;SRC-WEB-020</t>
        </is>
      </c>
      <c r="K13" s="2" t="inlineStr">
        <is>
          <t>OBSERVED</t>
        </is>
      </c>
      <c r="L13" s="2" t="inlineStr">
        <is>
          <t>Full weighted score withheld because country/city patient concentration, population concentration and procurement activity are not sufficiently verified.</t>
        </is>
      </c>
    </row>
    <row r="14">
      <c r="A14" s="2" t="inlineStr">
        <is>
          <t>UAE</t>
        </is>
      </c>
      <c r="B14" s="2" t="inlineStr">
        <is>
          <t>Dubai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>
        <is>
          <t>PARTIAL</t>
        </is>
      </c>
      <c r="J14" s="2" t="inlineStr">
        <is>
          <t>SRC-WEB-013;SRC-WEB-014;SRC-WEB-015;SRC-WEB-016;SRC-WEB-017;SRC-WEB-018</t>
        </is>
      </c>
      <c r="K14" s="2" t="inlineStr">
        <is>
          <t>OBSERVED</t>
        </is>
      </c>
      <c r="L14" s="2" t="inlineStr">
        <is>
          <t>Full weighted score withheld because country/city patient concentration, population concentration and procurement activity are not sufficiently verified.</t>
        </is>
      </c>
    </row>
  </sheetData>
  <autoFilter ref="A1:L1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"/>
  <sheetViews>
    <sheetView showGridLines="1" workbookViewId="0">
      <pane ySplit="1" topLeftCell="A2" activePane="bottomLeft" state="frozen"/>
      <selection pane="bottomLeft" activeCell="A1" sqref="A1"/>
      <selection pane="bottomLeft" activeCell="A1" sqref="A1"/>
    </sheetView>
  </sheetViews>
  <sheetFormatPr baseColWidth="8" defaultColWidth="9" defaultRowHeight="15"/>
  <cols>
    <col width="14" customWidth="1" min="1" max="1"/>
    <col width="23" customWidth="1" min="2" max="2"/>
    <col width="15" customWidth="1" min="3" max="3"/>
    <col width="40" customWidth="1" min="4" max="4"/>
    <col width="23" customWidth="1" min="5" max="5"/>
    <col width="28" customWidth="1" min="6" max="6"/>
    <col width="31" customWidth="1" min="7" max="7"/>
    <col width="28" customWidth="1" min="8" max="8"/>
    <col width="31" customWidth="1" min="9" max="9"/>
    <col width="45" customWidth="1" min="10" max="10"/>
    <col width="16" customWidth="1" min="11" max="11"/>
    <col width="45" customWidth="1" min="12" max="12"/>
    <col width="23" customWidth="1" min="13" max="13"/>
    <col width="13" customWidth="1" min="14" max="14"/>
  </cols>
  <sheetData>
    <row r="1">
      <c r="A1" s="8" t="inlineStr">
        <is>
          <t>Country</t>
        </is>
      </c>
      <c r="B1" s="8" t="inlineStr">
        <is>
          <t>Distributor</t>
        </is>
      </c>
      <c r="C1" s="8" t="inlineStr">
        <is>
          <t>City_Coverage</t>
        </is>
      </c>
      <c r="D1" s="8" t="inlineStr">
        <is>
          <t>Manufacturer_Brand</t>
        </is>
      </c>
      <c r="E1" s="8" t="inlineStr">
        <is>
          <t>Product_Category</t>
        </is>
      </c>
      <c r="F1" s="8" t="inlineStr">
        <is>
          <t>Tunneled_Catheter_Activity</t>
        </is>
      </c>
      <c r="G1" s="8" t="inlineStr">
        <is>
          <t>NonTunneled_Catheter_Activity</t>
        </is>
      </c>
      <c r="H1" s="8" t="inlineStr">
        <is>
          <t>Government_Tender_Activity</t>
        </is>
      </c>
      <c r="I1" s="8" t="inlineStr">
        <is>
          <t>Hospital_Private_Sector_Focus</t>
        </is>
      </c>
      <c r="J1" s="8" t="inlineStr">
        <is>
          <t>Evidence_URL</t>
        </is>
      </c>
      <c r="K1" s="8" t="inlineStr">
        <is>
          <t>Evidence_Level</t>
        </is>
      </c>
      <c r="L1" s="8" t="inlineStr">
        <is>
          <t>Verification_Status</t>
        </is>
      </c>
      <c r="M1" s="8" t="inlineStr">
        <is>
          <t>Role_Type</t>
        </is>
      </c>
      <c r="N1" s="8" t="inlineStr">
        <is>
          <t>Source_ID</t>
        </is>
      </c>
    </row>
    <row r="2">
      <c r="A2" s="2" t="inlineStr">
        <is>
          <t>Saudi Arabia</t>
        </is>
      </c>
      <c r="B2" s="2" t="inlineStr">
        <is>
          <t>Hospital Care Company</t>
        </is>
      </c>
      <c r="C2" s="2" t="inlineStr">
        <is>
          <t>Saudi Arabia</t>
        </is>
      </c>
      <c r="D2" s="2" t="inlineStr">
        <is>
          <t>Guangdong Baihe Medical Technology Co.</t>
        </is>
      </c>
      <c r="E2" s="2" t="inlineStr">
        <is>
          <t>Hemodialysis catheter</t>
        </is>
      </c>
      <c r="F2" s="2" t="inlineStr"/>
      <c r="G2" s="2" t="inlineStr">
        <is>
          <t>Verified via NUPCO award line</t>
        </is>
      </c>
      <c r="H2" s="2" t="inlineStr">
        <is>
          <t>Yes</t>
        </is>
      </c>
      <c r="I2" s="2" t="inlineStr">
        <is>
          <t>Government procurement</t>
        </is>
      </c>
      <c r="J2" s="2" t="inlineStr">
        <is>
          <t>https://www.nupco.com/wp-content/uploads/2024/01/NPT0003-24-_-RENAL-CONSUMABLE-TENDER-_-FINAL_AWARD_BATCH2.pdf</t>
        </is>
      </c>
      <c r="K2" s="2" t="inlineStr">
        <is>
          <t>OBSERVED</t>
        </is>
      </c>
      <c r="L2" s="2" t="inlineStr">
        <is>
          <t>Tender vendor relationship verified; distributor status NOT established</t>
        </is>
      </c>
      <c r="M2" s="2" t="inlineStr">
        <is>
          <t>Tender_Awardee/Vendor</t>
        </is>
      </c>
      <c r="N2" s="2" t="inlineStr">
        <is>
          <t>SRC-WEB-052</t>
        </is>
      </c>
    </row>
  </sheetData>
  <autoFilter ref="A1:N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"/>
  <sheetViews>
    <sheetView showGridLines="1" workbookViewId="0">
      <pane ySplit="1" topLeftCell="A2" activePane="bottomLeft" state="frozen"/>
      <selection pane="bottomLeft" activeCell="A1" sqref="A1"/>
      <selection pane="bottomLeft" activeCell="A1" sqref="A1"/>
    </sheetView>
  </sheetViews>
  <sheetFormatPr baseColWidth="8" defaultColWidth="9" defaultRowHeight="15"/>
  <cols>
    <col width="14" customWidth="1" min="1" max="1"/>
    <col width="40" customWidth="1" min="2" max="2"/>
    <col width="10" customWidth="1" min="3" max="4"/>
    <col width="45" customWidth="1" min="4" max="4"/>
    <col width="23" customWidth="1" min="5" max="5"/>
    <col width="22" customWidth="1" min="6" max="6"/>
    <col width="19" customWidth="1" min="7" max="7"/>
    <col width="13" customWidth="1" min="8" max="8"/>
    <col width="23" customWidth="1" min="9" max="9"/>
    <col width="45" customWidth="1" min="10" max="10"/>
    <col width="16" customWidth="1" min="11" max="11"/>
    <col width="45" customWidth="1" min="12" max="12"/>
    <col width="13" customWidth="1" min="13" max="13"/>
  </cols>
  <sheetData>
    <row r="1" ht="30" customHeight="1">
      <c r="A1" s="8" t="inlineStr">
        <is>
          <t>Country</t>
        </is>
      </c>
      <c r="B1" s="8" t="inlineStr">
        <is>
          <t>Manufacturer</t>
        </is>
      </c>
      <c r="C1" s="8" t="inlineStr">
        <is>
          <t>Brand</t>
        </is>
      </c>
      <c r="D1" s="8" t="inlineStr">
        <is>
          <t>Product</t>
        </is>
      </c>
      <c r="E1" s="8" t="inlineStr">
        <is>
          <t>Product_Type</t>
        </is>
      </c>
      <c r="F1" s="8" t="inlineStr">
        <is>
          <t>Tunneled_NonTunneled</t>
        </is>
      </c>
      <c r="G1" s="8" t="inlineStr">
        <is>
          <t>Regulatory_Status</t>
        </is>
      </c>
      <c r="H1" s="8" t="inlineStr">
        <is>
          <t>Distributor</t>
        </is>
      </c>
      <c r="I1" s="8" t="inlineStr">
        <is>
          <t>Tender_Awardee</t>
        </is>
      </c>
      <c r="J1" s="8" t="inlineStr">
        <is>
          <t>Evidence_URL</t>
        </is>
      </c>
      <c r="K1" s="8" t="inlineStr">
        <is>
          <t>Evidence_Level</t>
        </is>
      </c>
      <c r="L1" s="8" t="inlineStr">
        <is>
          <t>Verification_Status</t>
        </is>
      </c>
      <c r="M1" s="8" t="inlineStr">
        <is>
          <t>Source_ID</t>
        </is>
      </c>
    </row>
    <row r="2">
      <c r="A2" s="2" t="inlineStr">
        <is>
          <t>Saudi Arabia</t>
        </is>
      </c>
      <c r="B2" s="2" t="inlineStr">
        <is>
          <t>Guangdong Baihe Medical Technology Co.</t>
        </is>
      </c>
      <c r="C2" s="2" t="inlineStr"/>
      <c r="D2" s="2" t="inlineStr">
        <is>
          <t>Hemodialysis catheter 11.5 French x 15 cm short-term straight</t>
        </is>
      </c>
      <c r="E2" s="2" t="inlineStr">
        <is>
          <t>Hemodialysis catheter</t>
        </is>
      </c>
      <c r="F2" s="2" t="inlineStr">
        <is>
          <t>NonTunneled</t>
        </is>
      </c>
      <c r="G2" s="2" t="inlineStr"/>
      <c r="H2" s="2" t="inlineStr"/>
      <c r="I2" s="2" t="inlineStr">
        <is>
          <t>Hospital Care Company</t>
        </is>
      </c>
      <c r="J2" s="2" t="inlineStr">
        <is>
          <t>https://www.nupco.com/wp-content/uploads/2024/01/NPT0003-24-_-RENAL-CONSUMABLE-TENDER-_-FINAL_AWARD_BATCH2.pdf</t>
        </is>
      </c>
      <c r="K2" s="2" t="inlineStr">
        <is>
          <t>OBSERVED</t>
        </is>
      </c>
      <c r="L2" s="2" t="inlineStr">
        <is>
          <t>NUPCO final award line verified; regulatory status and broader distributor relationship not established</t>
        </is>
      </c>
      <c r="M2" s="2" t="inlineStr">
        <is>
          <t>SRC-WEB-052</t>
        </is>
      </c>
    </row>
  </sheetData>
  <autoFilter ref="A1:M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1" workbookViewId="0">
      <pane ySplit="1" topLeftCell="A2" activePane="bottomLeft" state="frozen"/>
      <selection pane="bottomLeft" activeCell="A1" sqref="A1"/>
      <selection pane="bottomLeft" activeCell="A1" sqref="A1"/>
    </sheetView>
  </sheetViews>
  <sheetFormatPr baseColWidth="8" defaultColWidth="9" defaultRowHeight="15"/>
  <cols>
    <col width="12" customWidth="1" min="1" max="1"/>
    <col width="17" customWidth="1" min="2" max="2"/>
    <col width="23" customWidth="1" min="3" max="3"/>
    <col width="22" customWidth="1" min="4" max="4"/>
    <col width="40" customWidth="1" min="5" max="5"/>
    <col width="10" customWidth="1" min="6" max="6"/>
    <col width="23" customWidth="1" min="7" max="8"/>
    <col width="23" customWidth="1" min="8" max="8"/>
    <col width="13" customWidth="1" min="9" max="10"/>
    <col width="10" customWidth="1" min="10" max="10"/>
    <col width="10" customWidth="1" min="11" max="11"/>
    <col width="16" customWidth="1" min="12" max="12"/>
    <col width="14" customWidth="1" min="13" max="15"/>
    <col width="10" customWidth="1" min="14" max="14"/>
    <col width="10" customWidth="1" min="15" max="15"/>
    <col width="45" customWidth="1" min="16" max="16"/>
    <col width="16" customWidth="1" min="17" max="17"/>
    <col width="45" customWidth="1" min="18" max="18"/>
    <col width="13" customWidth="1" min="19" max="19"/>
  </cols>
  <sheetData>
    <row r="1" ht="30" customHeight="1">
      <c r="A1" s="8" t="inlineStr">
        <is>
          <t>Tender_ID</t>
        </is>
      </c>
      <c r="B1" s="8" t="inlineStr">
        <is>
          <t>NUPCO_Item_Code</t>
        </is>
      </c>
      <c r="C1" s="8" t="inlineStr">
        <is>
          <t>Product_Type</t>
        </is>
      </c>
      <c r="D1" s="8" t="inlineStr">
        <is>
          <t>Tunneled_NonTunneled</t>
        </is>
      </c>
      <c r="E1" s="8" t="inlineStr">
        <is>
          <t>Manufacturer</t>
        </is>
      </c>
      <c r="F1" s="8" t="inlineStr">
        <is>
          <t>Brand</t>
        </is>
      </c>
      <c r="G1" s="8" t="inlineStr">
        <is>
          <t>Distributor</t>
        </is>
      </c>
      <c r="H1" s="8" t="inlineStr">
        <is>
          <t>Tender_Awardee</t>
        </is>
      </c>
      <c r="I1" s="8" t="inlineStr">
        <is>
          <t>French_Size</t>
        </is>
      </c>
      <c r="J1" s="8" t="inlineStr">
        <is>
          <t>Length</t>
        </is>
      </c>
      <c r="K1" s="8" t="inlineStr">
        <is>
          <t>Material</t>
        </is>
      </c>
      <c r="L1" s="8" t="inlineStr">
        <is>
          <t>Catalog_Number</t>
        </is>
      </c>
      <c r="M1" s="8" t="inlineStr">
        <is>
          <t>Award_Status</t>
        </is>
      </c>
      <c r="N1" s="8" t="inlineStr">
        <is>
          <t>Price</t>
        </is>
      </c>
      <c r="O1" s="8" t="inlineStr">
        <is>
          <t>Currency</t>
        </is>
      </c>
      <c r="P1" s="8" t="inlineStr">
        <is>
          <t>Source_URL</t>
        </is>
      </c>
      <c r="Q1" s="8" t="inlineStr">
        <is>
          <t>Evidence_Level</t>
        </is>
      </c>
      <c r="R1" s="8" t="inlineStr">
        <is>
          <t>Verification_Status</t>
        </is>
      </c>
      <c r="S1" s="8" t="inlineStr">
        <is>
          <t>Source_ID</t>
        </is>
      </c>
    </row>
    <row r="2">
      <c r="A2" s="2" t="inlineStr">
        <is>
          <t>NPT0003/24</t>
        </is>
      </c>
      <c r="B2" s="2" t="inlineStr">
        <is>
          <t>4216150301000</t>
        </is>
      </c>
      <c r="C2" s="2" t="inlineStr">
        <is>
          <t>Hemodialysis catheter</t>
        </is>
      </c>
      <c r="D2" s="2" t="inlineStr">
        <is>
          <t>NonTunneled</t>
        </is>
      </c>
      <c r="E2" s="2" t="inlineStr">
        <is>
          <t>Guangdong Baihe Medical Technology Co.</t>
        </is>
      </c>
      <c r="F2" s="2" t="inlineStr"/>
      <c r="G2" s="2" t="inlineStr">
        <is>
          <t>Hospital Care Company</t>
        </is>
      </c>
      <c r="H2" s="2" t="inlineStr">
        <is>
          <t>Hospital Care Company</t>
        </is>
      </c>
      <c r="I2" s="2" t="n">
        <v>11.5</v>
      </c>
      <c r="J2" s="2" t="n">
        <v>15</v>
      </c>
      <c r="K2" s="2" t="inlineStr"/>
      <c r="L2" s="2" t="inlineStr">
        <is>
          <t>FR-2125</t>
        </is>
      </c>
      <c r="M2" s="2" t="inlineStr">
        <is>
          <t>Final Award</t>
        </is>
      </c>
      <c r="N2" s="2" t="inlineStr"/>
      <c r="O2" s="2" t="inlineStr"/>
      <c r="P2" s="2" t="inlineStr">
        <is>
          <t>https://www.nupco.com/wp-content/uploads/2024/01/NPT0003-24-_-RENAL-CONSUMABLE-TENDER-_-FINAL_AWARD_BATCH2.pdf</t>
        </is>
      </c>
      <c r="Q2" s="2" t="inlineStr">
        <is>
          <t>OBSERVED</t>
        </is>
      </c>
      <c r="R2" s="2" t="inlineStr">
        <is>
          <t>Verified from NUPCO final award; unit price not publicly disclosed in retrieved document</t>
        </is>
      </c>
      <c r="S2" s="2" t="inlineStr">
        <is>
          <t>SRC-WEB-052</t>
        </is>
      </c>
    </row>
  </sheetData>
  <autoFilter ref="A1:S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1" workbookViewId="0">
      <pane ySplit="1" topLeftCell="A2" activePane="bottomLeft" state="frozen"/>
      <selection pane="bottomLeft" activeCell="A1" sqref="A1"/>
      <selection pane="bottomLeft" activeCell="A1" sqref="A1"/>
    </sheetView>
  </sheetViews>
  <sheetFormatPr baseColWidth="8" defaultColWidth="9" defaultRowHeight="15"/>
  <cols>
    <col width="12" customWidth="1" min="1" max="1"/>
    <col width="17" customWidth="1" min="2" max="2"/>
    <col width="45" customWidth="1" min="3" max="3"/>
    <col width="23" customWidth="1" min="4" max="4"/>
    <col width="22" customWidth="1" min="5" max="5"/>
    <col width="40" customWidth="1" min="6" max="6"/>
    <col width="10" customWidth="1" min="7" max="7"/>
    <col width="23" customWidth="1" min="8" max="8"/>
    <col width="16" customWidth="1" min="9" max="9"/>
    <col width="12" customWidth="1" min="10" max="11"/>
    <col width="10" customWidth="1" min="11" max="11"/>
    <col width="14" customWidth="1" min="12" max="13"/>
    <col width="16" customWidth="1" min="13" max="13"/>
    <col width="45" customWidth="1" min="14" max="14"/>
    <col width="16" customWidth="1" min="15" max="15"/>
    <col width="45" customWidth="1" min="16" max="16"/>
    <col width="13" customWidth="1" min="17" max="17"/>
  </cols>
  <sheetData>
    <row r="1" ht="30" customHeight="1">
      <c r="A1" s="8" t="inlineStr">
        <is>
          <t>Tender_ID</t>
        </is>
      </c>
      <c r="B1" s="8" t="inlineStr">
        <is>
          <t>NUPCO_Item_Code</t>
        </is>
      </c>
      <c r="C1" s="8" t="inlineStr">
        <is>
          <t>Product_Description</t>
        </is>
      </c>
      <c r="D1" s="8" t="inlineStr">
        <is>
          <t>Product_Type</t>
        </is>
      </c>
      <c r="E1" s="8" t="inlineStr">
        <is>
          <t>Tunneled_NonTunneled</t>
        </is>
      </c>
      <c r="F1" s="8" t="inlineStr">
        <is>
          <t>Manufacturer</t>
        </is>
      </c>
      <c r="G1" s="8" t="inlineStr">
        <is>
          <t>Brand</t>
        </is>
      </c>
      <c r="H1" s="8" t="inlineStr">
        <is>
          <t>Distributor</t>
        </is>
      </c>
      <c r="I1" s="8" t="inlineStr">
        <is>
          <t>Award_Quantity</t>
        </is>
      </c>
      <c r="J1" s="8" t="inlineStr">
        <is>
          <t>Unit_Price</t>
        </is>
      </c>
      <c r="K1" s="8" t="inlineStr">
        <is>
          <t>Currency</t>
        </is>
      </c>
      <c r="L1" s="8" t="inlineStr">
        <is>
          <t>Award_Status</t>
        </is>
      </c>
      <c r="M1" s="8" t="inlineStr">
        <is>
          <t>Catalog_Number</t>
        </is>
      </c>
      <c r="N1" s="8" t="inlineStr">
        <is>
          <t>Source_URL</t>
        </is>
      </c>
      <c r="O1" s="8" t="inlineStr">
        <is>
          <t>Evidence_Level</t>
        </is>
      </c>
      <c r="P1" s="8" t="inlineStr">
        <is>
          <t>Verification_Status</t>
        </is>
      </c>
      <c r="Q1" s="8" t="inlineStr">
        <is>
          <t>Source_ID</t>
        </is>
      </c>
    </row>
    <row r="2">
      <c r="A2" s="2" t="inlineStr">
        <is>
          <t>NPT0003/24</t>
        </is>
      </c>
      <c r="B2" s="2" t="inlineStr">
        <is>
          <t>4216150301000</t>
        </is>
      </c>
      <c r="C2" s="2" t="inlineStr">
        <is>
          <t>CATHETER, HEMODIALYSIS KIT, 11.5 FRENCH X 15 CM, SHORT TERM, STRAIGHT</t>
        </is>
      </c>
      <c r="D2" s="2" t="inlineStr">
        <is>
          <t>Hemodialysis catheter</t>
        </is>
      </c>
      <c r="E2" s="2" t="inlineStr">
        <is>
          <t>NonTunneled</t>
        </is>
      </c>
      <c r="F2" s="2" t="inlineStr">
        <is>
          <t>Guangdong Baihe Medical Technology Co.</t>
        </is>
      </c>
      <c r="G2" s="2" t="inlineStr"/>
      <c r="H2" s="2" t="inlineStr">
        <is>
          <t>Hospital Care Company</t>
        </is>
      </c>
      <c r="I2" s="2" t="inlineStr"/>
      <c r="J2" s="2" t="inlineStr"/>
      <c r="K2" s="2" t="inlineStr"/>
      <c r="L2" s="2" t="inlineStr">
        <is>
          <t>Final Award</t>
        </is>
      </c>
      <c r="M2" s="2" t="inlineStr">
        <is>
          <t>FR-2125</t>
        </is>
      </c>
      <c r="N2" s="2" t="inlineStr">
        <is>
          <t>https://www.nupco.com/wp-content/uploads/2024/01/NPT0003-24-_-RENAL-CONSUMABLE-TENDER-_-FINAL_AWARD_BATCH2.pdf</t>
        </is>
      </c>
      <c r="O2" s="2" t="inlineStr">
        <is>
          <t>OBSERVED</t>
        </is>
      </c>
      <c r="P2" s="2" t="inlineStr">
        <is>
          <t>Unit price and award quantity not present in retrieved final award line</t>
        </is>
      </c>
      <c r="Q2" s="2" t="inlineStr">
        <is>
          <t>SRC-WEB-052</t>
        </is>
      </c>
    </row>
  </sheetData>
  <autoFilter ref="A1:Q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"/>
  <sheetViews>
    <sheetView showGridLines="1" topLeftCell="C1" workbookViewId="0">
      <pane ySplit="1" topLeftCell="A2" activePane="bottomLeft" state="frozen"/>
      <selection pane="bottomLeft" activeCell="A1" sqref="A1"/>
      <selection pane="bottomLeft" activeCell="M1" sqref="M$1:M$1048576"/>
    </sheetView>
  </sheetViews>
  <sheetFormatPr baseColWidth="8" defaultColWidth="9" defaultRowHeight="15" outlineLevelRow="4"/>
  <cols>
    <col width="14" customWidth="1" min="1" max="1"/>
    <col width="12" customWidth="1" min="2" max="2"/>
    <col width="42" customWidth="1" min="3" max="3"/>
    <col width="19" customWidth="1" min="4" max="4"/>
    <col width="18" customWidth="1" min="5" max="5"/>
    <col width="12" customWidth="1" min="6" max="6"/>
    <col width="15" customWidth="1" min="7" max="7"/>
    <col width="23" customWidth="1" min="8" max="8"/>
    <col width="22" customWidth="1" min="9" max="10"/>
    <col width="40" customWidth="1" min="10" max="10"/>
    <col width="23" customWidth="1" min="11" max="11"/>
    <col width="12" customWidth="1" min="12" max="12"/>
    <col width="10" customWidth="1" min="13" max="13"/>
    <col width="45" customWidth="1" min="14" max="14"/>
    <col width="16" customWidth="1" min="15" max="15"/>
    <col width="45" customWidth="1" min="16" max="16"/>
    <col width="13" customWidth="1" min="17" max="17"/>
  </cols>
  <sheetData>
    <row r="1" ht="30" customHeight="1">
      <c r="A1" s="8" t="inlineStr">
        <is>
          <t>Country</t>
        </is>
      </c>
      <c r="B1" s="8" t="inlineStr">
        <is>
          <t>Tender_ID</t>
        </is>
      </c>
      <c r="C1" s="8" t="inlineStr">
        <is>
          <t>Tender_Title</t>
        </is>
      </c>
      <c r="D1" s="8" t="inlineStr">
        <is>
          <t>Tender_Category</t>
        </is>
      </c>
      <c r="E1" s="8" t="inlineStr">
        <is>
          <t>Publication_Date</t>
        </is>
      </c>
      <c r="F1" s="8" t="inlineStr">
        <is>
          <t>Award_Date</t>
        </is>
      </c>
      <c r="G1" s="8" t="inlineStr">
        <is>
          <t>Status</t>
        </is>
      </c>
      <c r="H1" s="8" t="inlineStr">
        <is>
          <t>Product_Type</t>
        </is>
      </c>
      <c r="I1" s="8" t="inlineStr">
        <is>
          <t>Tunneled_NonTunneled</t>
        </is>
      </c>
      <c r="J1" s="8" t="inlineStr">
        <is>
          <t>Manufacturer</t>
        </is>
      </c>
      <c r="K1" s="8" t="inlineStr">
        <is>
          <t>Awardee</t>
        </is>
      </c>
      <c r="L1" s="8" t="inlineStr">
        <is>
          <t>Unit_Price</t>
        </is>
      </c>
      <c r="M1" s="8" t="inlineStr">
        <is>
          <t>Currency</t>
        </is>
      </c>
      <c r="N1" s="8" t="inlineStr">
        <is>
          <t>Source_URL</t>
        </is>
      </c>
      <c r="O1" s="8" t="inlineStr">
        <is>
          <t>Evidence_Level</t>
        </is>
      </c>
      <c r="P1" s="8" t="inlineStr">
        <is>
          <t>Verification_Status</t>
        </is>
      </c>
      <c r="Q1" s="8" t="inlineStr">
        <is>
          <t>Source_ID</t>
        </is>
      </c>
    </row>
    <row r="2" ht="30" customHeight="1">
      <c r="A2" s="2" t="inlineStr">
        <is>
          <t>Saudi Arabia</t>
        </is>
      </c>
      <c r="B2" s="2" t="inlineStr">
        <is>
          <t>NPT0003/24</t>
        </is>
      </c>
      <c r="C2" s="2" t="inlineStr">
        <is>
          <t>Renal Dialysis / Renal Consumable Tender</t>
        </is>
      </c>
      <c r="D2" s="2" t="inlineStr">
        <is>
          <t>Renal consumables</t>
        </is>
      </c>
      <c r="E2" s="2" t="inlineStr">
        <is>
          <t>2024-01-08</t>
        </is>
      </c>
      <c r="F2" s="2" t="inlineStr">
        <is>
          <t>2024-01-08</t>
        </is>
      </c>
      <c r="G2" s="2" t="inlineStr">
        <is>
          <t>Final Award</t>
        </is>
      </c>
      <c r="H2" s="2" t="inlineStr">
        <is>
          <t>Hemodialysis catheter</t>
        </is>
      </c>
      <c r="I2" s="2" t="inlineStr">
        <is>
          <t>NonTunneled</t>
        </is>
      </c>
      <c r="J2" s="2" t="inlineStr">
        <is>
          <t>Guangdong Baihe Medical Technology Co.</t>
        </is>
      </c>
      <c r="K2" s="2" t="inlineStr">
        <is>
          <t>Hospital Care Company</t>
        </is>
      </c>
      <c r="L2" s="2" t="inlineStr"/>
      <c r="M2" s="2" t="inlineStr"/>
      <c r="N2" s="2" t="inlineStr">
        <is>
          <t>https://www.nupco.com/wp-content/uploads/2024/01/NPT0003-24-_-RENAL-CONSUMABLE-TENDER-_-FINAL_AWARD_BATCH2.pdf</t>
        </is>
      </c>
      <c r="O2" s="2" t="inlineStr">
        <is>
          <t>OBSERVED</t>
        </is>
      </c>
      <c r="P2" s="2" t="inlineStr">
        <is>
          <t>Tender and final award verified; price not publicly disclosed in retrieved line</t>
        </is>
      </c>
      <c r="Q2" s="2" t="inlineStr">
        <is>
          <t>SRC-WEB-052</t>
        </is>
      </c>
    </row>
    <row r="3" ht="30" customHeight="1">
      <c r="A3" s="2" t="inlineStr">
        <is>
          <t>Saudi Arabia</t>
        </is>
      </c>
      <c r="B3" s="2" t="inlineStr">
        <is>
          <t>NPT0046/23</t>
        </is>
      </c>
      <c r="C3" s="2" t="inlineStr">
        <is>
          <t>Dialysis Services Tender</t>
        </is>
      </c>
      <c r="D3" s="2" t="inlineStr">
        <is>
          <t>Dialysis services</t>
        </is>
      </c>
      <c r="E3" s="2" t="inlineStr"/>
      <c r="F3" s="2" t="inlineStr">
        <is>
          <t>2025-01-28</t>
        </is>
      </c>
      <c r="G3" s="2" t="inlineStr">
        <is>
          <t>Final Results</t>
        </is>
      </c>
      <c r="H3" s="2" t="inlineStr">
        <is>
          <t>Dialysis service</t>
        </is>
      </c>
      <c r="I3" s="2" t="inlineStr"/>
      <c r="J3" s="2" t="inlineStr"/>
      <c r="K3" s="2" t="inlineStr"/>
      <c r="L3" s="2" t="inlineStr"/>
      <c r="M3" s="2" t="inlineStr"/>
      <c r="N3" s="2" t="inlineStr">
        <is>
          <t>https://stg.nupco.com/%D8%A7%D9%84%D9%85%D9%86%D8%A7%D9%81%D8%B3%D8%A7%D8%AA/</t>
        </is>
      </c>
      <c r="O3" s="2" t="inlineStr">
        <is>
          <t>OBSERVED</t>
        </is>
      </c>
      <c r="P3" s="2" t="inlineStr">
        <is>
          <t>NUPCO tender list identifies final results; detailed scope/awardee not retrieved</t>
        </is>
      </c>
      <c r="Q3" s="2" t="inlineStr">
        <is>
          <t>SRC-WEB-053</t>
        </is>
      </c>
    </row>
    <row r="4" ht="30" customHeight="1"/>
    <row r="5" ht="30" customHeight="1"/>
  </sheetData>
  <autoFilter ref="A1:Q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1" workbookViewId="0">
      <pane ySplit="1" topLeftCell="A2" activePane="bottomLeft" state="frozen"/>
      <selection pane="bottomLeft" activeCell="A1" sqref="A1"/>
      <selection pane="bottomLeft" activeCell="A1" sqref="A1"/>
    </sheetView>
  </sheetViews>
  <sheetFormatPr baseColWidth="8" defaultColWidth="9" defaultRowHeight="15"/>
  <cols>
    <col width="14" customWidth="1" min="1" max="1"/>
    <col width="36" customWidth="1" min="2" max="2"/>
    <col width="10" customWidth="1" min="3" max="3"/>
    <col width="45" customWidth="1" min="4" max="4"/>
    <col width="45" customWidth="1" min="5" max="5"/>
    <col width="39" customWidth="1" min="6" max="6"/>
    <col width="20" customWidth="1" min="7" max="7"/>
    <col width="16" customWidth="1" min="8" max="8"/>
  </cols>
  <sheetData>
    <row r="1">
      <c r="A1" s="8" t="inlineStr">
        <is>
          <t>Country</t>
        </is>
      </c>
      <c r="B1" s="8" t="inlineStr">
        <is>
          <t>Data_Gap</t>
        </is>
      </c>
      <c r="C1" s="8" t="inlineStr">
        <is>
          <t>Priority</t>
        </is>
      </c>
      <c r="D1" s="8" t="inlineStr">
        <is>
          <t>Why_Missing</t>
        </is>
      </c>
      <c r="E1" s="8" t="inlineStr">
        <is>
          <t>Required_Research_Action</t>
        </is>
      </c>
      <c r="F1" s="8" t="inlineStr">
        <is>
          <t>Suggested_Source</t>
        </is>
      </c>
      <c r="G1" s="8" t="inlineStr">
        <is>
          <t>Status</t>
        </is>
      </c>
      <c r="H1" s="8" t="inlineStr">
        <is>
          <t>Evidence_Level</t>
        </is>
      </c>
    </row>
    <row r="2">
      <c r="A2" s="2" t="inlineStr">
        <is>
          <t>Saudi Arabia</t>
        </is>
      </c>
      <c r="B2" s="2" t="inlineStr">
        <is>
          <t>2026 HD patients</t>
        </is>
      </c>
      <c r="C2" s="2" t="inlineStr">
        <is>
          <t>CRITICAL</t>
        </is>
      </c>
      <c r="D2" s="2" t="inlineStr">
        <is>
          <t>No verified 2026 national observed census</t>
        </is>
      </c>
      <c r="E2" s="2" t="inlineStr">
        <is>
          <t>Obtain 2025/2026 MOH/GaStat dialysis registry or health cluster statistics</t>
        </is>
      </c>
      <c r="F2" s="2" t="inlineStr">
        <is>
          <t>MOH / GaStat / health clusters</t>
        </is>
      </c>
      <c r="G2" s="2" t="inlineStr">
        <is>
          <t>NEEDS_VERIFICATION</t>
        </is>
      </c>
      <c r="H2" s="2" t="n"/>
    </row>
    <row r="3">
      <c r="A3" s="2" t="inlineStr">
        <is>
          <t>Saudi Arabia</t>
        </is>
      </c>
      <c r="B3" s="2" t="inlineStr">
        <is>
          <t>Catheter ASP</t>
        </is>
      </c>
      <c r="C3" s="2" t="inlineStr">
        <is>
          <t>CRITICAL</t>
        </is>
      </c>
      <c r="D3" s="2" t="inlineStr">
        <is>
          <t>No public country-specific ASP verified</t>
        </is>
      </c>
      <c r="E3" s="2" t="inlineStr">
        <is>
          <t>Obtain NUPCO award schedules or contract pricing</t>
        </is>
      </c>
      <c r="F3" s="2" t="inlineStr">
        <is>
          <t>NUPCO</t>
        </is>
      </c>
      <c r="G3" s="2" t="inlineStr">
        <is>
          <t>NEEDS_VERIFICATION</t>
        </is>
      </c>
      <c r="H3" s="2" t="n"/>
    </row>
    <row r="4">
      <c r="A4" s="2" t="inlineStr">
        <is>
          <t>Saudi Arabia</t>
        </is>
      </c>
      <c r="B4" s="2" t="inlineStr">
        <is>
          <t>NPT0003/24 remaining catheter SKUs</t>
        </is>
      </c>
      <c r="C4" s="2" t="inlineStr">
        <is>
          <t>HIGH</t>
        </is>
      </c>
      <c r="D4" s="2" t="inlineStr">
        <is>
          <t>Only one HD catheter SKU line was retrieved</t>
        </is>
      </c>
      <c r="E4" s="2" t="inlineStr">
        <is>
          <t>Review all NPT0003/24 award batches and hold items</t>
        </is>
      </c>
      <c r="F4" s="2" t="inlineStr">
        <is>
          <t>NUPCO</t>
        </is>
      </c>
      <c r="G4" s="2" t="inlineStr">
        <is>
          <t>NEEDS_VERIFICATION</t>
        </is>
      </c>
      <c r="H4" s="2" t="n"/>
    </row>
    <row r="5">
      <c r="A5" s="2" t="inlineStr">
        <is>
          <t>Saudi Arabia</t>
        </is>
      </c>
      <c r="B5" s="2" t="inlineStr">
        <is>
          <t>Facility coverage</t>
        </is>
      </c>
      <c r="C5" s="2" t="inlineStr">
        <is>
          <t>HIGH</t>
        </is>
      </c>
      <c r="D5" s="2" t="inlineStr">
        <is>
          <t>MOH national center total is aggregate and does not identify all facilities by name</t>
        </is>
      </c>
      <c r="E5" s="2" t="inlineStr">
        <is>
          <t>Extract current MOH/health-cluster facility directory and reconcile physical sites</t>
        </is>
      </c>
      <c r="F5" s="2" t="inlineStr">
        <is>
          <t>MOH interactive map / health clusters</t>
        </is>
      </c>
      <c r="G5" s="2" t="inlineStr">
        <is>
          <t>NEEDS_VERIFICATION</t>
        </is>
      </c>
      <c r="H5" s="2" t="n"/>
    </row>
    <row r="6">
      <c r="A6" s="2" t="inlineStr">
        <is>
          <t>UAE</t>
        </is>
      </c>
      <c r="B6" s="2" t="inlineStr">
        <is>
          <t>2026 HD patients</t>
        </is>
      </c>
      <c r="C6" s="2" t="inlineStr">
        <is>
          <t>CRITICAL</t>
        </is>
      </c>
      <c r="D6" s="2" t="inlineStr">
        <is>
          <t>No verified national 2026 HD census</t>
        </is>
      </c>
      <c r="E6" s="2" t="inlineStr">
        <is>
          <t>Obtain DoH/SEHA, DHA and EHS dialysis census</t>
        </is>
      </c>
      <c r="F6" s="2" t="inlineStr">
        <is>
          <t>DoH / DHA / EHS</t>
        </is>
      </c>
      <c r="G6" s="2" t="inlineStr">
        <is>
          <t>NEEDS_VERIFICATION</t>
        </is>
      </c>
      <c r="H6" s="2" t="n"/>
    </row>
    <row r="7">
      <c r="A7" s="2" t="inlineStr">
        <is>
          <t>UAE</t>
        </is>
      </c>
      <c r="B7" s="2" t="inlineStr">
        <is>
          <t>Facility coverage</t>
        </is>
      </c>
      <c r="C7" s="2" t="inlineStr">
        <is>
          <t>HIGH</t>
        </is>
      </c>
      <c r="D7" s="2" t="inlineStr">
        <is>
          <t>Current regulator lists are fragmented by emirate</t>
        </is>
      </c>
      <c r="E7" s="2" t="inlineStr">
        <is>
          <t>Reconcile DoH, DHA and EHS licensed dialysis facility lists</t>
        </is>
      </c>
      <c r="F7" s="2" t="inlineStr">
        <is>
          <t>DoH / DHA / EHS</t>
        </is>
      </c>
      <c r="G7" s="2" t="inlineStr">
        <is>
          <t>NEEDS_VERIFICATION</t>
        </is>
      </c>
      <c r="H7" s="2" t="n"/>
    </row>
    <row r="8">
      <c r="A8" s="2" t="inlineStr">
        <is>
          <t>UAE</t>
        </is>
      </c>
      <c r="B8" s="2" t="inlineStr">
        <is>
          <t>Catheter ASP</t>
        </is>
      </c>
      <c r="C8" s="2" t="inlineStr">
        <is>
          <t>CRITICAL</t>
        </is>
      </c>
      <c r="D8" s="2" t="inlineStr">
        <is>
          <t>No reliable public country-specific ASP verified</t>
        </is>
      </c>
      <c r="E8" s="2" t="inlineStr">
        <is>
          <t>Search procurement/price lists and tender awards</t>
        </is>
      </c>
      <c r="F8" s="2" t="inlineStr">
        <is>
          <t>DoH / SEHA / DHA / EHS</t>
        </is>
      </c>
      <c r="G8" s="2" t="inlineStr">
        <is>
          <t>NEEDS_VERIFICATION</t>
        </is>
      </c>
      <c r="H8" s="2" t="n"/>
    </row>
    <row r="9">
      <c r="A9" s="2" t="inlineStr">
        <is>
          <t>Qatar</t>
        </is>
      </c>
      <c r="B9" s="2" t="inlineStr">
        <is>
          <t>2026 HD patients</t>
        </is>
      </c>
      <c r="C9" s="2" t="inlineStr">
        <is>
          <t>CRITICAL</t>
        </is>
      </c>
      <c r="D9" s="2" t="inlineStr">
        <is>
          <t>No 2026 observed census retrieved</t>
        </is>
      </c>
      <c r="E9" s="2" t="inlineStr">
        <is>
          <t>Obtain HMC 2025/2026 renal registry or annual report</t>
        </is>
      </c>
      <c r="F9" s="2" t="inlineStr">
        <is>
          <t>HMC</t>
        </is>
      </c>
      <c r="G9" s="2" t="inlineStr">
        <is>
          <t>NEEDS_VERIFICATION</t>
        </is>
      </c>
      <c r="H9" s="2" t="n"/>
    </row>
    <row r="10">
      <c r="A10" s="2" t="inlineStr">
        <is>
          <t>Qatar</t>
        </is>
      </c>
      <c r="B10" s="2" t="inlineStr">
        <is>
          <t>Catheter ASP</t>
        </is>
      </c>
      <c r="C10" s="2" t="inlineStr">
        <is>
          <t>CRITICAL</t>
        </is>
      </c>
      <c r="D10" s="2" t="inlineStr">
        <is>
          <t>No public catheter ASP verified</t>
        </is>
      </c>
      <c r="E10" s="2" t="inlineStr">
        <is>
          <t>Search HMC procurement/tender awards</t>
        </is>
      </c>
      <c r="F10" s="2" t="inlineStr">
        <is>
          <t>HMC procurement</t>
        </is>
      </c>
      <c r="G10" s="2" t="inlineStr">
        <is>
          <t>NEEDS_VERIFICATION</t>
        </is>
      </c>
      <c r="H10" s="2" t="n"/>
    </row>
    <row r="11">
      <c r="A11" s="2" t="inlineStr">
        <is>
          <t>Qatar</t>
        </is>
      </c>
      <c r="B11" s="2" t="inlineStr">
        <is>
          <t>Facility currentness</t>
        </is>
      </c>
      <c r="C11" s="2" t="inlineStr">
        <is>
          <t>MEDIUM</t>
        </is>
      </c>
      <c r="D11" s="2" t="inlineStr">
        <is>
          <t>Station data are 2021 while new facilities opened later</t>
        </is>
      </c>
      <c r="E11" s="2" t="inlineStr">
        <is>
          <t>Reconcile 2026 HMC dialysis facility list and station capacity</t>
        </is>
      </c>
      <c r="F11" s="2" t="inlineStr">
        <is>
          <t>HMC</t>
        </is>
      </c>
      <c r="G11" s="2" t="inlineStr">
        <is>
          <t>NEEDS_VERIFICATION</t>
        </is>
      </c>
      <c r="H11" s="2" t="n"/>
    </row>
    <row r="12">
      <c r="A12" s="2" t="inlineStr">
        <is>
          <t>Kuwait</t>
        </is>
      </c>
      <c r="B12" s="2" t="inlineStr">
        <is>
          <t>2026 HD patients</t>
        </is>
      </c>
      <c r="C12" s="2" t="inlineStr">
        <is>
          <t>CRITICAL</t>
        </is>
      </c>
      <c r="D12" s="2" t="inlineStr">
        <is>
          <t>No 2026 national HD census retrieved</t>
        </is>
      </c>
      <c r="E12" s="2" t="inlineStr">
        <is>
          <t>Obtain MoH nephrology committee / annual report</t>
        </is>
      </c>
      <c r="F12" s="2" t="inlineStr">
        <is>
          <t>Kuwait MoH</t>
        </is>
      </c>
      <c r="G12" s="2" t="inlineStr">
        <is>
          <t>NEEDS_VERIFICATION</t>
        </is>
      </c>
      <c r="H12" s="2" t="n"/>
    </row>
    <row r="13">
      <c r="A13" s="2" t="inlineStr">
        <is>
          <t>Kuwait</t>
        </is>
      </c>
      <c r="B13" s="2" t="inlineStr">
        <is>
          <t>Catheter ASP</t>
        </is>
      </c>
      <c r="C13" s="2" t="inlineStr">
        <is>
          <t>CRITICAL</t>
        </is>
      </c>
      <c r="D13" s="2" t="inlineStr">
        <is>
          <t>No public country-specific catheter ASP verified</t>
        </is>
      </c>
      <c r="E13" s="2" t="inlineStr">
        <is>
          <t>Search MoH tender award documents</t>
        </is>
      </c>
      <c r="F13" s="2" t="inlineStr">
        <is>
          <t>Kuwait MoH procurement</t>
        </is>
      </c>
      <c r="G13" s="2" t="inlineStr">
        <is>
          <t>NEEDS_VERIFICATION</t>
        </is>
      </c>
      <c r="H13" s="2" t="n"/>
    </row>
    <row r="14">
      <c r="A14" s="2" t="inlineStr">
        <is>
          <t>Kuwait</t>
        </is>
      </c>
      <c r="B14" s="2" t="inlineStr">
        <is>
          <t>Facility station counts</t>
        </is>
      </c>
      <c r="C14" s="2" t="inlineStr">
        <is>
          <t>HIGH</t>
        </is>
      </c>
      <c r="D14" s="2" t="inlineStr">
        <is>
          <t>Hospital-level station counts are incomplete</t>
        </is>
      </c>
      <c r="E14" s="2" t="inlineStr">
        <is>
          <t>Obtain MoH dialysis unit capacity by hospital</t>
        </is>
      </c>
      <c r="F14" s="2" t="inlineStr">
        <is>
          <t>Kuwait MoH</t>
        </is>
      </c>
      <c r="G14" s="2" t="inlineStr">
        <is>
          <t>NEEDS_VERIFICATION</t>
        </is>
      </c>
      <c r="H14" s="2" t="n"/>
    </row>
    <row r="15">
      <c r="A15" s="2" t="inlineStr">
        <is>
          <t>Oman</t>
        </is>
      </c>
      <c r="B15" s="2" t="inlineStr">
        <is>
          <t>Current facility census</t>
        </is>
      </c>
      <c r="C15" s="2" t="inlineStr">
        <is>
          <t>HIGH</t>
        </is>
      </c>
      <c r="D15" s="2" t="inlineStr">
        <is>
          <t>Many named sites derive from 2013/2023 evidence</t>
        </is>
      </c>
      <c r="E15" s="2" t="inlineStr">
        <is>
          <t>Reconcile current MOH facility directory</t>
        </is>
      </c>
      <c r="F15" s="2" t="inlineStr">
        <is>
          <t>Oman MOH</t>
        </is>
      </c>
      <c r="G15" s="2" t="inlineStr">
        <is>
          <t>NEEDS_VERIFICATION</t>
        </is>
      </c>
      <c r="H15" s="2" t="n"/>
    </row>
    <row r="16">
      <c r="A16" s="2" t="inlineStr">
        <is>
          <t>Oman</t>
        </is>
      </c>
      <c r="B16" s="2" t="inlineStr">
        <is>
          <t>2026 HD patients</t>
        </is>
      </c>
      <c r="C16" s="2" t="inlineStr">
        <is>
          <t>CRITICAL</t>
        </is>
      </c>
      <c r="D16" s="2" t="inlineStr">
        <is>
          <t>No verified 2026 national HD census retrieved</t>
        </is>
      </c>
      <c r="E16" s="2" t="inlineStr">
        <is>
          <t>Obtain national renal registry</t>
        </is>
      </c>
      <c r="F16" s="2" t="inlineStr">
        <is>
          <t>Oman MOH</t>
        </is>
      </c>
      <c r="G16" s="2" t="inlineStr">
        <is>
          <t>NEEDS_VERIFICATION</t>
        </is>
      </c>
      <c r="H16" s="2" t="n"/>
    </row>
    <row r="17">
      <c r="A17" s="2" t="inlineStr">
        <is>
          <t>Oman</t>
        </is>
      </c>
      <c r="B17" s="2" t="inlineStr">
        <is>
          <t>Catheter ASP</t>
        </is>
      </c>
      <c r="C17" s="2" t="inlineStr">
        <is>
          <t>CRITICAL</t>
        </is>
      </c>
      <c r="D17" s="2" t="inlineStr">
        <is>
          <t>No public country-specific ASP verified</t>
        </is>
      </c>
      <c r="E17" s="2" t="inlineStr">
        <is>
          <t>Search MOH tenders and procurement awards</t>
        </is>
      </c>
      <c r="F17" s="2" t="inlineStr">
        <is>
          <t>Oman MOH</t>
        </is>
      </c>
      <c r="G17" s="2" t="inlineStr">
        <is>
          <t>NEEDS_VERIFICATION</t>
        </is>
      </c>
      <c r="H17" s="2" t="n"/>
    </row>
    <row r="18">
      <c r="A18" s="2" t="inlineStr">
        <is>
          <t>Bahrain</t>
        </is>
      </c>
      <c r="B18" s="2" t="inlineStr">
        <is>
          <t>Facility coverage</t>
        </is>
      </c>
      <c r="C18" s="2" t="inlineStr">
        <is>
          <t>CRITICAL</t>
        </is>
      </c>
      <c r="D18" s="2" t="inlineStr">
        <is>
          <t>Only two facilities were source-verified in this pass</t>
        </is>
      </c>
      <c r="E18" s="2" t="inlineStr">
        <is>
          <t>Obtain Government Hospitals / MOH dialysis facility directory</t>
        </is>
      </c>
      <c r="F18" s="2" t="inlineStr">
        <is>
          <t>Bahrain MOH / Government Hospitals</t>
        </is>
      </c>
      <c r="G18" s="2" t="inlineStr">
        <is>
          <t>NEEDS_VERIFICATION</t>
        </is>
      </c>
      <c r="H18" s="2" t="n"/>
    </row>
    <row r="19">
      <c r="A19" s="2" t="inlineStr">
        <is>
          <t>Bahrain</t>
        </is>
      </c>
      <c r="B19" s="2" t="inlineStr">
        <is>
          <t>2026 HD patients</t>
        </is>
      </c>
      <c r="C19" s="2" t="inlineStr">
        <is>
          <t>CRITICAL</t>
        </is>
      </c>
      <c r="D19" s="2" t="inlineStr">
        <is>
          <t>No 2026 national HD census retrieved</t>
        </is>
      </c>
      <c r="E19" s="2" t="inlineStr">
        <is>
          <t>Obtain national renal registry/annual report</t>
        </is>
      </c>
      <c r="F19" s="2" t="inlineStr">
        <is>
          <t>Bahrain MOH</t>
        </is>
      </c>
      <c r="G19" s="2" t="inlineStr">
        <is>
          <t>NEEDS_VERIFICATION</t>
        </is>
      </c>
      <c r="H19" s="2" t="n"/>
    </row>
    <row r="20">
      <c r="A20" s="2" t="inlineStr">
        <is>
          <t>Bahrain</t>
        </is>
      </c>
      <c r="B20" s="2" t="inlineStr">
        <is>
          <t>Catheter ASP</t>
        </is>
      </c>
      <c r="C20" s="2" t="inlineStr">
        <is>
          <t>CRITICAL</t>
        </is>
      </c>
      <c r="D20" s="2" t="inlineStr">
        <is>
          <t>No public country-specific ASP verified</t>
        </is>
      </c>
      <c r="E20" s="2" t="inlineStr">
        <is>
          <t>Search Bahrain Tender Board awards</t>
        </is>
      </c>
      <c r="F20" s="2" t="inlineStr">
        <is>
          <t>Bahrain Tender Board</t>
        </is>
      </c>
      <c r="G20" s="2" t="inlineStr">
        <is>
          <t>NEEDS_VERIFICATION</t>
        </is>
      </c>
      <c r="H20" s="2" t="n"/>
    </row>
    <row r="21">
      <c r="A21" s="2" t="inlineStr">
        <is>
          <t>Jordan</t>
        </is>
      </c>
      <c r="B21" s="2" t="inlineStr">
        <is>
          <t>Facility coverage</t>
        </is>
      </c>
      <c r="C21" s="2" t="inlineStr">
        <is>
          <t>HIGH</t>
        </is>
      </c>
      <c r="D21" s="2" t="inlineStr">
        <is>
          <t>Multicenter studies verify several hospitals but not a full current facility directory</t>
        </is>
      </c>
      <c r="E21" s="2" t="inlineStr">
        <is>
          <t>Obtain MOH and Royal Medical Services dialysis center lists</t>
        </is>
      </c>
      <c r="F21" s="2" t="inlineStr">
        <is>
          <t>Jordan MOH / RMS</t>
        </is>
      </c>
      <c r="G21" s="2" t="inlineStr">
        <is>
          <t>NEEDS_VERIFICATION</t>
        </is>
      </c>
      <c r="H21" s="2" t="n"/>
    </row>
    <row r="22">
      <c r="A22" s="2" t="inlineStr">
        <is>
          <t>Jordan</t>
        </is>
      </c>
      <c r="B22" s="2" t="inlineStr">
        <is>
          <t>2026 HD patients</t>
        </is>
      </c>
      <c r="C22" s="2" t="inlineStr">
        <is>
          <t>CRITICAL</t>
        </is>
      </c>
      <c r="D22" s="2" t="inlineStr">
        <is>
          <t>No verified 2026 national census retrieved</t>
        </is>
      </c>
      <c r="E22" s="2" t="inlineStr">
        <is>
          <t>Obtain national renal registry or annual report</t>
        </is>
      </c>
      <c r="F22" s="2" t="inlineStr">
        <is>
          <t>Jordan MOH</t>
        </is>
      </c>
      <c r="G22" s="2" t="inlineStr">
        <is>
          <t>NEEDS_VERIFICATION</t>
        </is>
      </c>
      <c r="H22" s="2" t="n"/>
    </row>
    <row r="23">
      <c r="A23" s="2" t="inlineStr">
        <is>
          <t>Jordan</t>
        </is>
      </c>
      <c r="B23" s="2" t="inlineStr">
        <is>
          <t>Catheter ASP</t>
        </is>
      </c>
      <c r="C23" s="2" t="inlineStr">
        <is>
          <t>CRITICAL</t>
        </is>
      </c>
      <c r="D23" s="2" t="inlineStr">
        <is>
          <t>No public country-specific ASP verified</t>
        </is>
      </c>
      <c r="E23" s="2" t="inlineStr">
        <is>
          <t>Search procurement awards and hospital price lists</t>
        </is>
      </c>
      <c r="F23" s="2" t="inlineStr">
        <is>
          <t>Jordan procurement</t>
        </is>
      </c>
      <c r="G23" s="2" t="inlineStr">
        <is>
          <t>NEEDS_VERIFICATION</t>
        </is>
      </c>
      <c r="H23" s="2" t="n"/>
    </row>
    <row r="24">
      <c r="A24" s="2" t="inlineStr">
        <is>
          <t>Lebanon</t>
        </is>
      </c>
      <c r="B24" s="2" t="inlineStr">
        <is>
          <t>Current facility census</t>
        </is>
      </c>
      <c r="C24" s="2" t="inlineStr">
        <is>
          <t>HIGH</t>
        </is>
      </c>
      <c r="D24" s="2" t="inlineStr">
        <is>
          <t>60-center figure is historical and current network has changed</t>
        </is>
      </c>
      <c r="E24" s="2" t="inlineStr">
        <is>
          <t>Obtain current Ministry of Public Health / NSSF dialysis facility registry</t>
        </is>
      </c>
      <c r="F24" s="2" t="inlineStr">
        <is>
          <t>Lebanon MoPH / NSSF</t>
        </is>
      </c>
      <c r="G24" s="2" t="inlineStr">
        <is>
          <t>NEEDS_VERIFICATION</t>
        </is>
      </c>
      <c r="H24" s="2" t="n"/>
    </row>
    <row r="25">
      <c r="A25" s="2" t="inlineStr">
        <is>
          <t>Lebanon</t>
        </is>
      </c>
      <c r="B25" s="2" t="inlineStr">
        <is>
          <t>2026 HD patients</t>
        </is>
      </c>
      <c r="C25" s="2" t="inlineStr">
        <is>
          <t>CRITICAL</t>
        </is>
      </c>
      <c r="D25" s="2" t="inlineStr">
        <is>
          <t>No 2026 national observed census retrieved</t>
        </is>
      </c>
      <c r="E25" s="2" t="inlineStr">
        <is>
          <t>Obtain current national registry</t>
        </is>
      </c>
      <c r="F25" s="2" t="inlineStr">
        <is>
          <t>Lebanon MoPH</t>
        </is>
      </c>
      <c r="G25" s="2" t="inlineStr">
        <is>
          <t>NEEDS_VERIFICATION</t>
        </is>
      </c>
      <c r="H25" s="2" t="n"/>
    </row>
    <row r="26">
      <c r="A26" s="2" t="inlineStr">
        <is>
          <t>Lebanon</t>
        </is>
      </c>
      <c r="B26" s="2" t="inlineStr">
        <is>
          <t>Catheter ASP</t>
        </is>
      </c>
      <c r="C26" s="2" t="inlineStr">
        <is>
          <t>CRITICAL</t>
        </is>
      </c>
      <c r="D26" s="2" t="inlineStr">
        <is>
          <t>No public country-specific ASP verified</t>
        </is>
      </c>
      <c r="E26" s="2" t="inlineStr">
        <is>
          <t>Search hospital procurement and distributor price evidence</t>
        </is>
      </c>
      <c r="F26" s="2" t="inlineStr">
        <is>
          <t>MoPH / hospitals</t>
        </is>
      </c>
      <c r="G26" s="2" t="inlineStr">
        <is>
          <t>NEEDS_VERIFICATION</t>
        </is>
      </c>
      <c r="H26" s="2" t="n"/>
    </row>
    <row r="27">
      <c r="A27" s="2" t="inlineStr">
        <is>
          <t>Iraq</t>
        </is>
      </c>
      <c r="B27" s="2" t="inlineStr">
        <is>
          <t>Facility names</t>
        </is>
      </c>
      <c r="C27" s="2" t="inlineStr">
        <is>
          <t>CRITICAL</t>
        </is>
      </c>
      <c r="D27" s="2" t="inlineStr">
        <is>
          <t>National 2023 patient study does not disclose full facility list; 2018 MOH center count is aggregate</t>
        </is>
      </c>
      <c r="E27" s="2" t="inlineStr">
        <is>
          <t>Obtain governorate-level dialysis center directory and facility names</t>
        </is>
      </c>
      <c r="F27" s="2" t="inlineStr">
        <is>
          <t>Iraq MoH / governorates</t>
        </is>
      </c>
      <c r="G27" s="2" t="inlineStr">
        <is>
          <t>NEEDS_VERIFICATION</t>
        </is>
      </c>
      <c r="H27" s="2" t="n"/>
    </row>
    <row r="28">
      <c r="A28" s="2" t="inlineStr">
        <is>
          <t>Iraq</t>
        </is>
      </c>
      <c r="B28" s="2" t="inlineStr">
        <is>
          <t>2026 HD patients</t>
        </is>
      </c>
      <c r="C28" s="2" t="inlineStr">
        <is>
          <t>CRITICAL</t>
        </is>
      </c>
      <c r="D28" s="2" t="inlineStr">
        <is>
          <t>2023 national observed study is the latest retrieved, not 2026</t>
        </is>
      </c>
      <c r="E28" s="2" t="inlineStr">
        <is>
          <t>Obtain 2025/2026 national dialysis registry</t>
        </is>
      </c>
      <c r="F28" s="2" t="inlineStr">
        <is>
          <t>Iraq MoH</t>
        </is>
      </c>
      <c r="G28" s="2" t="inlineStr">
        <is>
          <t>NEEDS_VERIFICATION</t>
        </is>
      </c>
      <c r="H28" s="2" t="n"/>
    </row>
    <row r="29">
      <c r="A29" s="2" t="inlineStr">
        <is>
          <t>Iraq</t>
        </is>
      </c>
      <c r="B29" s="2" t="inlineStr">
        <is>
          <t>Catheter ASP</t>
        </is>
      </c>
      <c r="C29" s="2" t="inlineStr">
        <is>
          <t>CRITICAL</t>
        </is>
      </c>
      <c r="D29" s="2" t="inlineStr">
        <is>
          <t>No public country-specific ASP verified</t>
        </is>
      </c>
      <c r="E29" s="2" t="inlineStr">
        <is>
          <t>Search MoH procurement and hospital tenders</t>
        </is>
      </c>
      <c r="F29" s="2" t="inlineStr">
        <is>
          <t>Iraq MoH</t>
        </is>
      </c>
      <c r="G29" s="2" t="inlineStr">
        <is>
          <t>NEEDS_VERIFICATION</t>
        </is>
      </c>
      <c r="H29" s="2" t="n"/>
    </row>
  </sheetData>
  <autoFilter ref="A1:H2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1" workbookViewId="0">
      <pane ySplit="1" topLeftCell="A2" activePane="bottomLeft" state="frozen"/>
      <selection pane="bottomLeft" activeCell="A1" sqref="A1"/>
      <selection pane="bottomLeft" activeCell="C12" sqref="C12"/>
    </sheetView>
  </sheetViews>
  <sheetFormatPr baseColWidth="8" defaultColWidth="9" defaultRowHeight="15"/>
  <cols>
    <col width="36" customWidth="1" min="1" max="1"/>
    <col width="45" customWidth="1" min="2" max="2"/>
    <col width="10" customWidth="1" min="3" max="3"/>
    <col width="45" customWidth="1" min="4" max="4"/>
  </cols>
  <sheetData>
    <row r="1">
      <c r="A1" s="8" t="inlineStr">
        <is>
          <t>Check</t>
        </is>
      </c>
      <c r="B1" s="8" t="inlineStr">
        <is>
          <t>Result</t>
        </is>
      </c>
      <c r="C1" s="8" t="inlineStr">
        <is>
          <t>Status</t>
        </is>
      </c>
      <c r="D1" s="8" t="inlineStr">
        <is>
          <t>Audit_Note</t>
        </is>
      </c>
    </row>
    <row r="2">
      <c r="A2" s="2" t="inlineStr">
        <is>
          <t>Country coverage</t>
        </is>
      </c>
      <c r="B2" s="2" t="inlineStr">
        <is>
          <t>9 countries present</t>
        </is>
      </c>
      <c r="C2" s="2" t="inlineStr">
        <is>
          <t>PASS</t>
        </is>
      </c>
      <c r="D2" s="2" t="inlineStr">
        <is>
          <t>All requested countries are represented.</t>
        </is>
      </c>
    </row>
    <row r="3" ht="30" customHeight="1">
      <c r="A3" s="2" t="inlineStr">
        <is>
          <t>Verified facility records</t>
        </is>
      </c>
      <c r="B3" s="2" t="n">
        <v>104</v>
      </c>
      <c r="C3" s="2" t="inlineStr">
        <is>
          <t>PASS</t>
        </is>
      </c>
      <c r="D3" s="2" t="inlineStr">
        <is>
          <t>Source-backed facility records; no invented facility names used to fill quotas.</t>
        </is>
      </c>
    </row>
    <row r="4">
      <c r="A4" s="2" t="inlineStr">
        <is>
          <t>Duplicate canonical facility names</t>
        </is>
      </c>
      <c r="B4" s="2" t="n">
        <v>0</v>
      </c>
      <c r="C4" s="2" t="inlineStr">
        <is>
          <t>PASS</t>
        </is>
      </c>
      <c r="D4" s="2" t="inlineStr">
        <is>
          <t>No duplicate canonical facility names in HD_Facility_Master.</t>
        </is>
      </c>
    </row>
    <row r="5">
      <c r="A5" s="2" t="inlineStr">
        <is>
          <t>HD service evidence</t>
        </is>
      </c>
      <c r="B5" s="2" t="inlineStr">
        <is>
          <t>100% of facility rows have source IDs</t>
        </is>
      </c>
      <c r="C5" s="2" t="inlineStr">
        <is>
          <t>PASS</t>
        </is>
      </c>
      <c r="D5" s="2" t="inlineStr">
        <is>
          <t>Each facility row is tied to at least one source.</t>
        </is>
      </c>
    </row>
    <row r="6">
      <c r="A6" s="2" t="inlineStr">
        <is>
          <t>HD stations fabricated</t>
        </is>
      </c>
      <c r="B6" s="2" t="n">
        <v>0</v>
      </c>
      <c r="C6" s="2" t="inlineStr">
        <is>
          <t>PASS</t>
        </is>
      </c>
      <c r="D6" s="2" t="inlineStr">
        <is>
          <t>Only explicit station counts were entered; beds/chairs were not converted to stations.</t>
        </is>
      </c>
    </row>
    <row r="7">
      <c r="A7" s="2" t="inlineStr">
        <is>
          <t>Patient counts fabricated</t>
        </is>
      </c>
      <c r="B7" s="2" t="n">
        <v>0</v>
      </c>
      <c r="C7" s="2" t="inlineStr">
        <is>
          <t>PASS</t>
        </is>
      </c>
      <c r="D7" s="2" t="inlineStr">
        <is>
          <t>Exact patient counts only where source explicitly states them.</t>
        </is>
      </c>
    </row>
    <row r="8">
      <c r="A8" s="2" t="inlineStr">
        <is>
          <t>Ownership inferred</t>
        </is>
      </c>
      <c r="B8" s="2" t="n">
        <v>0</v>
      </c>
      <c r="C8" s="2" t="inlineStr">
        <is>
          <t>PASS</t>
        </is>
      </c>
      <c r="D8" s="2" t="inlineStr">
        <is>
          <t>Unknown retained where source did not state ownership.</t>
        </is>
      </c>
    </row>
    <row r="9">
      <c r="A9" s="2" t="inlineStr">
        <is>
          <t>Historical vs 2026 labeling</t>
        </is>
      </c>
      <c r="B9" s="2" t="inlineStr">
        <is>
          <t>Historical values retain source years; 2026 observed totals blank where unsupported</t>
        </is>
      </c>
      <c r="C9" s="2" t="inlineStr">
        <is>
          <t>PASS</t>
        </is>
      </c>
      <c r="D9" s="2" t="inlineStr">
        <is>
          <t>No historical value was relabeled as 2026.</t>
        </is>
      </c>
    </row>
    <row r="10">
      <c r="A10" s="2" t="inlineStr">
        <is>
          <t>Hospitals vs centers vs units</t>
        </is>
      </c>
      <c r="B10" s="2" t="inlineStr">
        <is>
          <t>Separate facility types</t>
        </is>
      </c>
      <c r="C10" s="2" t="inlineStr">
        <is>
          <t>PASS</t>
        </is>
      </c>
      <c r="D10" s="2" t="inlineStr">
        <is>
          <t>Hospital units, standalone centers and health centers are distinct.</t>
        </is>
      </c>
    </row>
    <row r="11">
      <c r="A11" s="2" t="inlineStr">
        <is>
          <t>Manufacturer vs distributor</t>
        </is>
      </c>
      <c r="B11" s="2" t="inlineStr">
        <is>
          <t>Separated</t>
        </is>
      </c>
      <c r="C11" s="2" t="inlineStr">
        <is>
          <t>PASS</t>
        </is>
      </c>
      <c r="D11" s="2" t="inlineStr">
        <is>
          <t>Tender vendor/awardee is not automatically labeled distributor.</t>
        </is>
      </c>
    </row>
    <row r="12">
      <c r="A12" s="2" t="inlineStr">
        <is>
          <t>Tender awardee vs manufacturer</t>
        </is>
      </c>
      <c r="B12" s="2" t="inlineStr">
        <is>
          <t>Separated</t>
        </is>
      </c>
      <c r="C12" s="2" t="inlineStr">
        <is>
          <t>PASS</t>
        </is>
      </c>
      <c r="D12" s="2" t="inlineStr">
        <is>
          <t>NPT0003/24 vendor and manufacturer are distinct fields.</t>
        </is>
      </c>
    </row>
    <row r="13">
      <c r="A13" s="2" t="inlineStr">
        <is>
          <t>Tender prices estimated</t>
        </is>
      </c>
      <c r="B13" s="2" t="n">
        <v>0</v>
      </c>
      <c r="C13" s="2" t="inlineStr">
        <is>
          <t>PASS</t>
        </is>
      </c>
      <c r="D13" s="2" t="inlineStr">
        <is>
          <t>Unit price left blank where not disclosed.</t>
        </is>
      </c>
    </row>
    <row r="14">
      <c r="A14" s="2" t="inlineStr">
        <is>
          <t>TAM/SAM/SOM unsupported</t>
        </is>
      </c>
      <c r="B14" s="2" t="inlineStr">
        <is>
          <t>Blank</t>
        </is>
      </c>
      <c r="C14" s="2" t="inlineStr">
        <is>
          <t>PASS</t>
        </is>
      </c>
      <c r="D14" s="2" t="inlineStr">
        <is>
          <t>No unsupported ASP-based sizing is presented.</t>
        </is>
      </c>
    </row>
    <row r="15">
      <c r="A15" s="2" t="inlineStr">
        <is>
          <t>2026 catheter demand unsupported</t>
        </is>
      </c>
      <c r="B15" s="2" t="inlineStr">
        <is>
          <t>Blank</t>
        </is>
      </c>
      <c r="C15" s="2" t="inlineStr">
        <is>
          <t>PASS</t>
        </is>
      </c>
      <c r="D15" s="2" t="inlineStr">
        <is>
          <t>Demand model is explicitly NEEDS_VERIFICATION rather than fabricated.</t>
        </is>
      </c>
    </row>
    <row r="16">
      <c r="A16" s="2" t="inlineStr">
        <is>
          <t>Source IDs fabricated</t>
        </is>
      </c>
      <c r="B16" s="2" t="n">
        <v>0</v>
      </c>
      <c r="C16" s="2" t="inlineStr">
        <is>
          <t>PASS</t>
        </is>
      </c>
      <c r="D16" s="2" t="inlineStr">
        <is>
          <t>All source IDs map to retrieved sources in Source_Register.</t>
        </is>
      </c>
    </row>
    <row r="17">
      <c r="A17" s="2" t="inlineStr">
        <is>
          <t>URL validity</t>
        </is>
      </c>
      <c r="B17" s="2" t="inlineStr">
        <is>
          <t>Sourced rows contain URLs</t>
        </is>
      </c>
      <c r="C17" s="2" t="inlineStr">
        <is>
          <t>PASS</t>
        </is>
      </c>
      <c r="D17" s="2" t="inlineStr">
        <is>
          <t>URLs stored separately.</t>
        </is>
      </c>
    </row>
    <row r="18">
      <c r="A18" s="2" t="inlineStr">
        <is>
          <t>Facility coverage completeness</t>
        </is>
      </c>
      <c r="B18" s="2" t="inlineStr">
        <is>
          <t>PARTIALLY_VERIFIED</t>
        </is>
      </c>
      <c r="C18" s="2" t="inlineStr">
        <is>
          <t>WARNING</t>
        </is>
      </c>
      <c r="D18" s="2" t="inlineStr">
        <is>
          <t>This is a maximum verified set from the research pass, not an exhaustive national census.</t>
        </is>
      </c>
    </row>
    <row r="19">
      <c r="A19" s="2" t="inlineStr">
        <is>
          <t>Saudi 2021 national figures</t>
        </is>
      </c>
      <c r="B19" s="2" t="inlineStr">
        <is>
          <t>20,440 HD; ~275 centers; &gt;8,000 machines</t>
        </is>
      </c>
      <c r="C19" s="2" t="inlineStr">
        <is>
          <t>PASS</t>
        </is>
      </c>
      <c r="D19" s="2" t="inlineStr">
        <is>
          <t>Peer-reviewed study based on GaStat/MOH 2021 data.</t>
        </is>
      </c>
    </row>
    <row r="20">
      <c r="A20" s="2" t="inlineStr">
        <is>
          <t>NPT0003/24 catheter SKU</t>
        </is>
      </c>
      <c r="B20" s="2" t="inlineStr">
        <is>
          <t>1 verified HD catheter SKU</t>
        </is>
      </c>
      <c r="C20" s="2" t="inlineStr">
        <is>
          <t>PASS</t>
        </is>
      </c>
      <c r="D20" s="2" t="inlineStr">
        <is>
          <t>NUPCO final award batch 2 line verified.</t>
        </is>
      </c>
    </row>
  </sheetData>
  <autoFilter ref="A1:D2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1" workbookViewId="0">
      <pane ySplit="1" topLeftCell="A2" activePane="bottomLeft" state="frozen"/>
      <selection pane="bottomLeft" activeCell="A1" sqref="A1"/>
      <selection pane="bottomLeft" activeCell="A1" sqref="A1"/>
    </sheetView>
  </sheetViews>
  <sheetFormatPr baseColWidth="8" defaultColWidth="9" defaultRowHeight="15"/>
  <cols>
    <col width="37" customWidth="1" min="1" max="1"/>
    <col width="45" customWidth="1" min="2" max="2"/>
    <col width="10" customWidth="1" min="3" max="3"/>
    <col width="45" customWidth="1" min="4" max="4"/>
  </cols>
  <sheetData>
    <row r="1">
      <c r="A1" s="8" t="inlineStr">
        <is>
          <t>Metric</t>
        </is>
      </c>
      <c r="B1" s="8" t="inlineStr">
        <is>
          <t>Value</t>
        </is>
      </c>
      <c r="C1" s="8" t="inlineStr">
        <is>
          <t>Status</t>
        </is>
      </c>
      <c r="D1" s="8" t="inlineStr">
        <is>
          <t>Note</t>
        </is>
      </c>
    </row>
    <row r="2">
      <c r="A2" s="2" t="inlineStr">
        <is>
          <t>Countries researched</t>
        </is>
      </c>
      <c r="B2" s="2" t="n">
        <v>9</v>
      </c>
      <c r="C2" s="2" t="inlineStr">
        <is>
          <t>PASS</t>
        </is>
      </c>
      <c r="D2" s="2" t="inlineStr">
        <is>
          <t>All requested countries represented.</t>
        </is>
      </c>
    </row>
    <row r="3">
      <c r="A3" s="2" t="inlineStr">
        <is>
          <t>Verified facility records</t>
        </is>
      </c>
      <c r="B3" s="2" t="n">
        <v>104</v>
      </c>
      <c r="C3" s="2" t="inlineStr">
        <is>
          <t>PASS</t>
        </is>
      </c>
      <c r="D3" s="2" t="inlineStr">
        <is>
          <t>Source-backed facility records.</t>
        </is>
      </c>
    </row>
    <row r="4">
      <c r="A4" s="2" t="inlineStr">
        <is>
          <t>Facility database coverage</t>
        </is>
      </c>
      <c r="B4" s="2" t="inlineStr">
        <is>
          <t>PARTIALLY_VERIFIED</t>
        </is>
      </c>
      <c r="C4" s="2" t="inlineStr">
        <is>
          <t>WARNING</t>
        </is>
      </c>
      <c r="D4" s="2" t="inlineStr">
        <is>
          <t>Not an exhaustive national census.</t>
        </is>
      </c>
    </row>
    <row r="5">
      <c r="A5" s="2" t="inlineStr">
        <is>
          <t>Published forecasts</t>
        </is>
      </c>
      <c r="B5" s="2" t="n">
        <v>0</v>
      </c>
      <c r="C5" s="2" t="inlineStr">
        <is>
          <t>PASS</t>
        </is>
      </c>
      <c r="D5" s="2" t="inlineStr">
        <is>
          <t>No unsupported forecasts retained.</t>
        </is>
      </c>
    </row>
    <row r="6">
      <c r="A6" s="2" t="inlineStr">
        <is>
          <t>Derived data points</t>
        </is>
      </c>
      <c r="B6" s="2" t="n">
        <v>1</v>
      </c>
      <c r="C6" s="2" t="inlineStr">
        <is>
          <t>PASS</t>
        </is>
      </c>
      <c r="D6" s="2" t="inlineStr">
        <is>
          <t>Saudi KRT derived from same-source HD + PD.</t>
        </is>
      </c>
    </row>
    <row r="7">
      <c r="A7" s="2" t="inlineStr">
        <is>
          <t>Analyst scenarios</t>
        </is>
      </c>
      <c r="B7" s="2" t="n">
        <v>104</v>
      </c>
      <c r="C7" s="2" t="inlineStr">
        <is>
          <t>PASS</t>
        </is>
      </c>
      <c r="D7" s="2" t="inlineStr">
        <is>
          <t>104 facility commercial-priority classifications are explicitly labeled ANALYST_SCENARIO.</t>
        </is>
      </c>
    </row>
    <row r="8">
      <c r="A8" s="2" t="inlineStr">
        <is>
          <t>Needs verification records</t>
        </is>
      </c>
      <c r="B8" s="2" t="n">
        <v>40</v>
      </c>
      <c r="C8" s="2" t="inlineStr">
        <is>
          <t>WARNING</t>
        </is>
      </c>
      <c r="D8" s="2" t="inlineStr">
        <is>
          <t>40 evidence-coded records are NEEDS_VERIFICATION; separate gap flags are tracked in Data_Gaps and HD_Facility_Data_Gaps.</t>
        </is>
      </c>
    </row>
    <row r="9">
      <c r="A9" s="2" t="inlineStr">
        <is>
          <t>Not available / blank major metrics</t>
        </is>
      </c>
      <c r="B9" s="2" t="inlineStr">
        <is>
          <t>ASP, TAM, SAM, SOM, 2026 HD totals, 2026 catheter demand</t>
        </is>
      </c>
      <c r="C9" s="2" t="inlineStr">
        <is>
          <t>WARNING</t>
        </is>
      </c>
      <c r="D9" s="2" t="inlineStr">
        <is>
          <t>Blank by design when evidence is insufficient.</t>
        </is>
      </c>
    </row>
    <row r="10">
      <c r="A10" s="2" t="inlineStr">
        <is>
          <t>Critical data gaps</t>
        </is>
      </c>
      <c r="B10" s="2" t="n">
        <v>20</v>
      </c>
      <c r="C10" s="2" t="inlineStr">
        <is>
          <t>WARNING</t>
        </is>
      </c>
      <c r="D10" s="2" t="inlineStr">
        <is>
          <t>See Data_Gaps.</t>
        </is>
      </c>
    </row>
    <row r="11">
      <c r="A11" s="2" t="inlineStr">
        <is>
          <t>Sources in register</t>
        </is>
      </c>
      <c r="B11" s="2" t="n">
        <v>6</v>
      </c>
      <c r="C11" s="2" t="inlineStr">
        <is>
          <t>PASS</t>
        </is>
      </c>
      <c r="D11" s="2" t="inlineStr">
        <is>
          <t>Legacy plus newly retrieved sources.</t>
        </is>
      </c>
    </row>
    <row r="12">
      <c r="A12" s="2" t="inlineStr">
        <is>
          <t>NPT0003/24 HD catheter SKU lines</t>
        </is>
      </c>
      <c r="B12" s="2" t="n">
        <v>1</v>
      </c>
      <c r="C12" s="2" t="inlineStr">
        <is>
          <t>PASS</t>
        </is>
      </c>
      <c r="D12" s="2" t="inlineStr">
        <is>
          <t>One individual HD catheter SKU verified.</t>
        </is>
      </c>
    </row>
    <row r="13">
      <c r="A13" s="2" t="inlineStr">
        <is>
          <t>Known HD station records</t>
        </is>
      </c>
      <c r="B13" s="2" t="n">
        <v>6</v>
      </c>
      <c r="C13" s="2" t="inlineStr">
        <is>
          <t>PASS</t>
        </is>
      </c>
      <c r="D13" s="2" t="inlineStr">
        <is>
          <t>Only explicit station counts.</t>
        </is>
      </c>
    </row>
    <row r="14">
      <c r="A14" s="2" t="inlineStr">
        <is>
          <t>Known HD stations total</t>
        </is>
      </c>
      <c r="B14" s="2" t="n">
        <v>177</v>
      </c>
      <c r="C14" s="2" t="inlineStr">
        <is>
          <t>PASS</t>
        </is>
      </c>
      <c r="D14" s="2" t="inlineStr">
        <is>
          <t>Sum of explicit facility-level station counts only.</t>
        </is>
      </c>
    </row>
  </sheetData>
  <autoFilter ref="A1:D1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1" workbookViewId="0">
      <pane ySplit="1" topLeftCell="A2" activePane="bottomLeft" state="frozen"/>
      <selection pane="bottomLeft" activeCell="A1" sqref="A1"/>
      <selection pane="bottomLeft" activeCell="A1" sqref="A1"/>
    </sheetView>
  </sheetViews>
  <sheetFormatPr baseColWidth="8" defaultColWidth="9" defaultRowHeight="15"/>
  <cols>
    <col width="36" customWidth="1" min="1" max="1"/>
    <col width="45" customWidth="1" min="2" max="2"/>
    <col width="11" customWidth="1" min="3" max="3"/>
  </cols>
  <sheetData>
    <row r="1">
      <c r="A1" s="8" t="inlineStr">
        <is>
          <t>Field_Name</t>
        </is>
      </c>
      <c r="B1" s="8" t="inlineStr">
        <is>
          <t>Definition</t>
        </is>
      </c>
      <c r="C1" s="8" t="inlineStr">
        <is>
          <t>Data_Type</t>
        </is>
      </c>
    </row>
    <row r="2">
      <c r="A2" s="2" t="inlineStr">
        <is>
          <t>Facility_ID</t>
        </is>
      </c>
      <c r="B2" s="2" t="inlineStr">
        <is>
          <t>Unique canonical physical facility identifier</t>
        </is>
      </c>
      <c r="C2" s="2" t="inlineStr">
        <is>
          <t>Text</t>
        </is>
      </c>
    </row>
    <row r="3">
      <c r="A3" s="2" t="inlineStr">
        <is>
          <t>Facility_Name</t>
        </is>
      </c>
      <c r="B3" s="2" t="inlineStr">
        <is>
          <t>Canonical facility name, one physical facility per row</t>
        </is>
      </c>
      <c r="C3" s="2" t="inlineStr">
        <is>
          <t>Text</t>
        </is>
      </c>
    </row>
    <row r="4">
      <c r="A4" s="2" t="inlineStr">
        <is>
          <t>Facility_Type</t>
        </is>
      </c>
      <c r="B4" s="2" t="inlineStr">
        <is>
          <t>Evidence-supported facility classification</t>
        </is>
      </c>
      <c r="C4" s="2" t="inlineStr">
        <is>
          <t>Text</t>
        </is>
      </c>
    </row>
    <row r="5">
      <c r="A5" s="2" t="inlineStr">
        <is>
          <t>HD_Stations</t>
        </is>
      </c>
      <c r="B5" s="2" t="inlineStr">
        <is>
          <t>Explicitly reported hemodialysis stations only; never estimated from beds/chairs</t>
        </is>
      </c>
      <c r="C5" s="2" t="inlineStr">
        <is>
          <t>Number</t>
        </is>
      </c>
    </row>
    <row r="6">
      <c r="A6" s="2" t="inlineStr">
        <is>
          <t>Published_HD_Patients</t>
        </is>
      </c>
      <c r="B6" s="2" t="inlineStr">
        <is>
          <t>Exact facility-level HD patient count when explicitly reported</t>
        </is>
      </c>
      <c r="C6" s="2" t="inlineStr">
        <is>
          <t>Number</t>
        </is>
      </c>
    </row>
    <row r="7" ht="45" customHeight="1">
      <c r="A7" s="2" t="inlineStr">
        <is>
          <t>Annual_HD_Patients</t>
        </is>
      </c>
      <c r="B7" s="2" t="inlineStr">
        <is>
          <t>Published annual dialysis/HD activity when explicitly reported</t>
        </is>
      </c>
      <c r="C7" s="2" t="inlineStr">
        <is>
          <t>Number</t>
        </is>
      </c>
    </row>
    <row r="8" ht="30" customHeight="1">
      <c r="A8" s="2" t="inlineStr">
        <is>
          <t>Ownership_Sector</t>
        </is>
      </c>
      <c r="B8" s="2" t="inlineStr">
        <is>
          <t>Ownership only when source-supported; otherwise Unknown</t>
        </is>
      </c>
      <c r="C8" s="2" t="inlineStr">
        <is>
          <t>Text</t>
        </is>
      </c>
    </row>
    <row r="9">
      <c r="A9" s="2" t="inlineStr">
        <is>
          <t>Commercial_Priority</t>
        </is>
      </c>
      <c r="B9" s="2" t="inlineStr">
        <is>
          <t>Analyst scenario prioritization, not observed market share</t>
        </is>
      </c>
      <c r="C9" s="2" t="inlineStr">
        <is>
          <t>Text</t>
        </is>
      </c>
    </row>
    <row r="10">
      <c r="A10" s="2" t="inlineStr">
        <is>
          <t>Commercial_Priority_Evidence_Level</t>
        </is>
      </c>
      <c r="B10" s="2" t="inlineStr">
        <is>
          <t>Evidence label for commercial priority classification</t>
        </is>
      </c>
      <c r="C10" s="2" t="inlineStr">
        <is>
          <t>Text</t>
        </is>
      </c>
    </row>
    <row r="11">
      <c r="A11" s="2" t="inlineStr">
        <is>
          <t>Evidence_Level</t>
        </is>
      </c>
      <c r="B11" s="2" t="inlineStr">
        <is>
          <t>OBSERVED/PUBLISHED_FORECAST/DERIVED/ANALYST_SCENARIO/NEEDS_VERIFICATION/NOT_AVAILABLE</t>
        </is>
      </c>
      <c r="C11" s="2" t="inlineStr">
        <is>
          <t>Text</t>
        </is>
      </c>
    </row>
    <row r="12">
      <c r="A12" s="2" t="inlineStr">
        <is>
          <t>Confidence</t>
        </is>
      </c>
      <c r="B12" s="2" t="inlineStr">
        <is>
          <t>Confidence associated with evidence level</t>
        </is>
      </c>
      <c r="C12" s="2" t="inlineStr">
        <is>
          <t>Text</t>
        </is>
      </c>
    </row>
    <row r="13" ht="30" customHeight="1">
      <c r="A13" s="2" t="inlineStr">
        <is>
          <t>Source_ID</t>
        </is>
      </c>
      <c r="B13" s="2" t="inlineStr">
        <is>
          <t>Traceability identifier mapped to Source_Register</t>
        </is>
      </c>
      <c r="C13" s="2" t="inlineStr">
        <is>
          <t>Text</t>
        </is>
      </c>
    </row>
    <row r="14">
      <c r="A14" s="2" t="inlineStr">
        <is>
          <t>Source_URL</t>
        </is>
      </c>
      <c r="B14" s="2" t="inlineStr">
        <is>
          <t>Source URL stored separately</t>
        </is>
      </c>
      <c r="C14" s="2" t="inlineStr">
        <is>
          <t>URL</t>
        </is>
      </c>
    </row>
    <row r="15">
      <c r="A15" s="2" t="inlineStr">
        <is>
          <t>Evidence_Note</t>
        </is>
      </c>
      <c r="B15" s="2" t="inlineStr">
        <is>
          <t>Short evidence interpretation and limitations</t>
        </is>
      </c>
      <c r="C15" s="2" t="inlineStr">
        <is>
          <t>Text</t>
        </is>
      </c>
    </row>
    <row r="16">
      <c r="A16" s="2" t="inlineStr">
        <is>
          <t>Verification_Status</t>
        </is>
      </c>
      <c r="B16" s="2" t="inlineStr">
        <is>
          <t>Research verification state</t>
        </is>
      </c>
      <c r="C16" s="2" t="inlineStr">
        <is>
          <t>Text</t>
        </is>
      </c>
    </row>
    <row r="17">
      <c r="A17" s="2" t="inlineStr">
        <is>
          <t>Last_Verified</t>
        </is>
      </c>
      <c r="B17" s="2" t="inlineStr">
        <is>
          <t>Date the record was last reviewed in this research pass</t>
        </is>
      </c>
      <c r="C17" s="2" t="inlineStr">
        <is>
          <t>Date</t>
        </is>
      </c>
    </row>
    <row r="18">
      <c r="A18" s="2" t="inlineStr">
        <is>
          <t>2026_HD_Patients</t>
        </is>
      </c>
      <c r="B18" s="2" t="inlineStr">
        <is>
          <t>Verified 2026 HD patient count; blank if not supported</t>
        </is>
      </c>
      <c r="C18" s="2" t="inlineStr">
        <is>
          <t>Number</t>
        </is>
      </c>
    </row>
    <row r="19">
      <c r="A19" s="2" t="inlineStr">
        <is>
          <t>Catheter_Demand</t>
        </is>
      </c>
      <c r="B19" s="2" t="inlineStr">
        <is>
          <t>2026 catheter demand; blank if underlying evidence insufficient</t>
        </is>
      </c>
      <c r="C19" s="2" t="inlineStr">
        <is>
          <t>Number</t>
        </is>
      </c>
    </row>
    <row r="20">
      <c r="A20" s="2" t="inlineStr">
        <is>
          <t>ASP</t>
        </is>
      </c>
      <c r="B20" s="2" t="inlineStr">
        <is>
          <t>Country-specific catheter ASP; blank if not publicly verified</t>
        </is>
      </c>
      <c r="C20" s="2" t="inlineStr">
        <is>
          <t>Number</t>
        </is>
      </c>
    </row>
    <row r="21">
      <c r="A21" s="2" t="inlineStr">
        <is>
          <t>TAM</t>
        </is>
      </c>
      <c r="B21" s="2" t="inlineStr">
        <is>
          <t>Addressable catheter units x ASP; blank if ASP unsupported</t>
        </is>
      </c>
      <c r="C21" s="2" t="inlineStr">
        <is>
          <t>Number</t>
        </is>
      </c>
    </row>
    <row r="22">
      <c r="A22" s="2" t="inlineStr">
        <is>
          <t>SAM</t>
        </is>
      </c>
      <c r="B22" s="2" t="inlineStr">
        <is>
          <t>TAM x supported serviceable percentage; blank if unsupported</t>
        </is>
      </c>
      <c r="C22" s="2" t="inlineStr">
        <is>
          <t>Number</t>
        </is>
      </c>
    </row>
    <row r="23">
      <c r="A23" s="2" t="inlineStr">
        <is>
          <t>SOM</t>
        </is>
      </c>
      <c r="B23" s="2" t="inlineStr">
        <is>
          <t>SAM x supported capture percentage; blank if unsupported</t>
        </is>
      </c>
      <c r="C23" s="2" t="inlineStr">
        <is>
          <t>Number</t>
        </is>
      </c>
    </row>
    <row r="24">
      <c r="A24" s="2" t="inlineStr">
        <is>
          <t>NUPCO_Item_Code</t>
        </is>
      </c>
      <c r="B24" s="2" t="inlineStr">
        <is>
          <t>NUPCO item code for verified tender SKU</t>
        </is>
      </c>
      <c r="C24" s="2" t="inlineStr">
        <is>
          <t>Text</t>
        </is>
      </c>
    </row>
    <row r="25">
      <c r="A25" s="2" t="inlineStr">
        <is>
          <t>Tunneled_NonTunneled</t>
        </is>
      </c>
      <c r="B25" s="2" t="inlineStr">
        <is>
          <t>Catheter product type classification</t>
        </is>
      </c>
      <c r="C25" s="2" t="inlineStr">
        <is>
          <t>Text</t>
        </is>
      </c>
    </row>
  </sheetData>
  <autoFilter ref="A1:C2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1" workbookViewId="0">
      <pane ySplit="1" topLeftCell="A2" activePane="bottomLeft" state="frozen"/>
      <selection pane="bottomLeft" activeCell="A1" sqref="A1"/>
      <selection pane="bottomLeft" activeCell="A1" sqref="A1"/>
    </sheetView>
  </sheetViews>
  <sheetFormatPr baseColWidth="8" defaultColWidth="9" defaultRowHeight="15" outlineLevelRow="6"/>
  <cols>
    <col width="13" customWidth="1" min="1" max="1"/>
    <col width="14" customWidth="1" min="2" max="2"/>
    <col width="45" customWidth="1" min="3" max="3"/>
    <col width="37" customWidth="1" min="4" max="4"/>
    <col width="18" customWidth="1" min="5" max="5"/>
    <col width="45" customWidth="1" min="6" max="6"/>
    <col width="20" customWidth="1" min="7" max="7"/>
    <col width="45" customWidth="1" min="8" max="8"/>
    <col width="13" customWidth="1" min="9" max="9"/>
  </cols>
  <sheetData>
    <row r="1">
      <c r="A1" s="8" t="inlineStr">
        <is>
          <t>Source_ID</t>
        </is>
      </c>
      <c r="B1" s="8" t="inlineStr">
        <is>
          <t>Country</t>
        </is>
      </c>
      <c r="C1" s="8" t="inlineStr">
        <is>
          <t>Source_Name</t>
        </is>
      </c>
      <c r="D1" s="8" t="inlineStr">
        <is>
          <t>Publisher</t>
        </is>
      </c>
      <c r="E1" s="8" t="inlineStr">
        <is>
          <t>Publication_Date</t>
        </is>
      </c>
      <c r="F1" s="8" t="inlineStr">
        <is>
          <t>Source_URL</t>
        </is>
      </c>
      <c r="G1" s="8" t="inlineStr">
        <is>
          <t>Evidence_Level</t>
        </is>
      </c>
      <c r="H1" s="8" t="inlineStr">
        <is>
          <t>What_It_Supports</t>
        </is>
      </c>
      <c r="I1" s="8" t="inlineStr">
        <is>
          <t>Access_Date</t>
        </is>
      </c>
    </row>
    <row r="2" ht="30" customHeight="1">
      <c r="A2" s="2" t="inlineStr">
        <is>
          <t>SRC-001</t>
        </is>
      </c>
      <c r="B2" s="2" t="inlineStr">
        <is>
          <t>Saudi Arabia</t>
        </is>
      </c>
      <c r="C2" s="2" t="inlineStr">
        <is>
          <t>Saudi dialysis/KRT study cited in supplied dataset</t>
        </is>
      </c>
      <c r="D2" s="2" t="inlineStr">
        <is>
          <t>Peer-reviewed/PMC</t>
        </is>
      </c>
      <c r="E2" s="2" t="inlineStr"/>
      <c r="F2" s="9" t="inlineStr">
        <is>
          <t>https://pmc.ncbi.nlm.nih.gov/articles/PMC11253410/</t>
        </is>
      </c>
      <c r="G2" s="2" t="inlineStr">
        <is>
          <t>OBSERVED</t>
        </is>
      </c>
      <c r="H2" s="2" t="inlineStr">
        <is>
          <t>Saudi KRT, HD and centers</t>
        </is>
      </c>
      <c r="I2" s="2" t="inlineStr"/>
    </row>
    <row r="3" ht="15.75" customHeight="1">
      <c r="A3" s="2" t="inlineStr">
        <is>
          <t>SRC-002</t>
        </is>
      </c>
      <c r="B3" s="2" t="inlineStr">
        <is>
          <t>UAE</t>
        </is>
      </c>
      <c r="C3" s="2" t="inlineStr">
        <is>
          <t>UAE source cited in supplied dataset</t>
        </is>
      </c>
      <c r="D3" s="2" t="inlineStr">
        <is>
          <t>Peer-reviewed/PMC</t>
        </is>
      </c>
      <c r="E3" s="2" t="inlineStr"/>
      <c r="F3" s="9" t="inlineStr">
        <is>
          <t>https://pmc.ncbi.nlm.nih.gov/articles/PMC11490247/</t>
        </is>
      </c>
      <c r="G3" s="2" t="inlineStr">
        <is>
          <t>NEEDS_VERIFICATION</t>
        </is>
      </c>
      <c r="H3" s="2" t="inlineStr">
        <is>
          <t>UAE HD proxy</t>
        </is>
      </c>
      <c r="I3" s="2" t="inlineStr"/>
    </row>
    <row r="4" ht="30" customHeight="1">
      <c r="A4" s="2" t="inlineStr">
        <is>
          <t>SRC-003</t>
        </is>
      </c>
      <c r="B4" s="2" t="inlineStr">
        <is>
          <t>Qatar</t>
        </is>
      </c>
      <c r="C4" s="2" t="inlineStr">
        <is>
          <t>Qatar source cited in supplied dataset</t>
        </is>
      </c>
      <c r="D4" s="2" t="inlineStr">
        <is>
          <t>Peer-reviewed/PMC</t>
        </is>
      </c>
      <c r="E4" s="2" t="inlineStr"/>
      <c r="F4" s="9" t="inlineStr">
        <is>
          <t>https://pmc.ncbi.nlm.nih.gov/articles/PMC9943994/</t>
        </is>
      </c>
      <c r="G4" s="2" t="inlineStr">
        <is>
          <t>PUBLISHED_FORECAST</t>
        </is>
      </c>
      <c r="H4" s="2" t="inlineStr">
        <is>
          <t>Qatar forecast and HD share</t>
        </is>
      </c>
      <c r="I4" s="2" t="inlineStr"/>
    </row>
    <row r="5" ht="15.75" customHeight="1">
      <c r="A5" s="2" t="inlineStr">
        <is>
          <t>SRC-004</t>
        </is>
      </c>
      <c r="B5" s="2" t="inlineStr">
        <is>
          <t>Kuwait</t>
        </is>
      </c>
      <c r="C5" s="2" t="inlineStr">
        <is>
          <t>Kuwait source cited in supplied dataset</t>
        </is>
      </c>
      <c r="D5" s="2" t="inlineStr">
        <is>
          <t>Peer-reviewed/Europe PMC</t>
        </is>
      </c>
      <c r="E5" s="2" t="inlineStr"/>
      <c r="F5" s="9" t="inlineStr">
        <is>
          <t>https://europepmc.org/article/MED/32801244</t>
        </is>
      </c>
      <c r="G5" s="2" t="inlineStr">
        <is>
          <t>OBSERVED</t>
        </is>
      </c>
      <c r="H5" s="2" t="inlineStr">
        <is>
          <t>Kuwait dialysis and catheter access</t>
        </is>
      </c>
      <c r="I5" s="2" t="inlineStr"/>
    </row>
    <row r="6" ht="15.75" customHeight="1">
      <c r="A6" s="2" t="inlineStr">
        <is>
          <t>SRC-005</t>
        </is>
      </c>
      <c r="B6" s="2" t="inlineStr">
        <is>
          <t>Oman</t>
        </is>
      </c>
      <c r="C6" s="2" t="inlineStr">
        <is>
          <t>Oman Health Facts 2024</t>
        </is>
      </c>
      <c r="D6" s="2" t="inlineStr">
        <is>
          <t>Government/MOH</t>
        </is>
      </c>
      <c r="E6" s="2" t="inlineStr">
        <is>
          <t>2024-01-01</t>
        </is>
      </c>
      <c r="F6" s="9" t="inlineStr">
        <is>
          <t>https://moh.gov.om/media/lnwjoogy/health-facts-2024.pdf</t>
        </is>
      </c>
      <c r="G6" s="2" t="inlineStr">
        <is>
          <t>OBSERVED</t>
        </is>
      </c>
      <c r="H6" s="2" t="inlineStr">
        <is>
          <t>Oman dialysis statistics</t>
        </is>
      </c>
      <c r="I6" s="2" t="inlineStr"/>
    </row>
    <row r="7" ht="15.75" customHeight="1">
      <c r="A7" s="2" t="inlineStr">
        <is>
          <t>SRC-NUPCO</t>
        </is>
      </c>
      <c r="B7" s="2" t="inlineStr">
        <is>
          <t>Saudi Arabia</t>
        </is>
      </c>
      <c r="C7" s="2" t="inlineStr">
        <is>
          <t>NUPCO procurement portal</t>
        </is>
      </c>
      <c r="D7" s="2" t="inlineStr">
        <is>
          <t>Government procurement</t>
        </is>
      </c>
      <c r="E7" s="2" t="inlineStr"/>
      <c r="F7" s="9" t="inlineStr">
        <is>
          <t>https://www.nupco.com/</t>
        </is>
      </c>
      <c r="G7" s="2" t="inlineStr">
        <is>
          <t>NEEDS_VERIFICATION</t>
        </is>
      </c>
      <c r="H7" s="2" t="inlineStr">
        <is>
          <t>NPT0003-24 reference</t>
        </is>
      </c>
      <c r="I7" s="2" t="inlineStr"/>
    </row>
    <row r="8">
      <c r="A8" s="2" t="inlineStr">
        <is>
          <t>SRC-WEB-001</t>
        </is>
      </c>
      <c r="B8" s="2" t="inlineStr">
        <is>
          <t>Saudi Arabia</t>
        </is>
      </c>
      <c r="C8" s="2" t="inlineStr">
        <is>
          <t>The utilization of renal dialysis: a comprehensive study in Saudi Arabia</t>
        </is>
      </c>
      <c r="D8" s="2" t="inlineStr">
        <is>
          <t>PMC / peer-reviewed</t>
        </is>
      </c>
      <c r="E8" s="2" t="inlineStr">
        <is>
          <t>2024-07-18</t>
        </is>
      </c>
      <c r="F8" s="2" t="inlineStr">
        <is>
          <t>https://pmc.ncbi.nlm.nih.gov/articles/PMC11253410/</t>
        </is>
      </c>
      <c r="G8" s="2" t="inlineStr">
        <is>
          <t>OBSERVED</t>
        </is>
      </c>
      <c r="H8" s="2" t="inlineStr">
        <is>
          <t>2021 renal dialysis centers, HD machines and HD patients</t>
        </is>
      </c>
      <c r="I8" s="2" t="inlineStr">
        <is>
          <t>2026-08-10</t>
        </is>
      </c>
    </row>
    <row r="9">
      <c r="A9" s="2" t="inlineStr">
        <is>
          <t>SRC-WEB-002</t>
        </is>
      </c>
      <c r="B9" s="2" t="inlineStr">
        <is>
          <t>Saudi Arabia</t>
        </is>
      </c>
      <c r="C9" s="2" t="inlineStr">
        <is>
          <t>MOH Observes World Kidney Day</t>
        </is>
      </c>
      <c r="D9" s="2" t="inlineStr">
        <is>
          <t>Saudi Ministry of Health</t>
        </is>
      </c>
      <c r="E9" s="2" t="inlineStr">
        <is>
          <t>2021-03-11</t>
        </is>
      </c>
      <c r="F9" s="2" t="inlineStr">
        <is>
          <t>https://www.moh.gov.sa/en/ministry/mediacenter/news/pages/news-2021-03-11-001.aspx</t>
        </is>
      </c>
      <c r="G9" s="2" t="inlineStr">
        <is>
          <t>OBSERVED</t>
        </is>
      </c>
      <c r="H9" s="2" t="inlineStr">
        <is>
          <t>MOH dialysis centers, dialysis sessions and named renal units/centers</t>
        </is>
      </c>
      <c r="I9" s="2" t="inlineStr">
        <is>
          <t>2026-08-10</t>
        </is>
      </c>
    </row>
    <row r="10">
      <c r="A10" s="2" t="inlineStr">
        <is>
          <t>SRC-WEB-003</t>
        </is>
      </c>
      <c r="B10" s="2" t="inlineStr">
        <is>
          <t>Saudi Arabia</t>
        </is>
      </c>
      <c r="C10" s="2" t="inlineStr">
        <is>
          <t>King Salman Center for Kidney Diseases: over 52,000 Hemodialysis Sessions in a Year</t>
        </is>
      </c>
      <c r="D10" s="2" t="inlineStr">
        <is>
          <t>Saudi Ministry of Health</t>
        </is>
      </c>
      <c r="E10" s="2" t="inlineStr">
        <is>
          <t>2017-10-15</t>
        </is>
      </c>
      <c r="F10" s="2" t="inlineStr">
        <is>
          <t>https://www.moh.gov.sa/en/ministry/mediacenter/news/pages/news-2017-10-15-001.aspx</t>
        </is>
      </c>
      <c r="G10" s="2" t="inlineStr">
        <is>
          <t>OBSERVED</t>
        </is>
      </c>
      <c r="H10" s="2" t="inlineStr">
        <is>
          <t>King Salman Kidney Center HD activity</t>
        </is>
      </c>
      <c r="I10" s="2" t="inlineStr">
        <is>
          <t>2026-08-10</t>
        </is>
      </c>
    </row>
    <row r="11">
      <c r="A11" s="2" t="inlineStr">
        <is>
          <t>SRC-WEB-004</t>
        </is>
      </c>
      <c r="B11" s="2" t="inlineStr">
        <is>
          <t>Saudi Arabia</t>
        </is>
      </c>
      <c r="C11" s="2" t="inlineStr">
        <is>
          <t>King Abdulaziz Kidney Center - Madinah</t>
        </is>
      </c>
      <c r="D11" s="2" t="inlineStr">
        <is>
          <t>Saudi Ministry of Health</t>
        </is>
      </c>
      <c r="E11" s="2" t="inlineStr">
        <is>
          <t>2018-03-29</t>
        </is>
      </c>
      <c r="F11" s="2" t="inlineStr">
        <is>
          <t>https://www.moh.gov.sa/en/ministry/mediacenter/news/pages/news-2018-03-29-004.aspx</t>
        </is>
      </c>
      <c r="G11" s="2" t="inlineStr">
        <is>
          <t>OBSERVED</t>
        </is>
      </c>
      <c r="H11" s="2" t="inlineStr">
        <is>
          <t>King Abdulaziz Kidney Center dialysis activity and capacity</t>
        </is>
      </c>
      <c r="I11" s="2" t="inlineStr">
        <is>
          <t>2026-08-10</t>
        </is>
      </c>
    </row>
    <row r="12">
      <c r="A12" s="2" t="inlineStr">
        <is>
          <t>SRC-WEB-005</t>
        </is>
      </c>
      <c r="B12" s="2" t="inlineStr">
        <is>
          <t>Saudi Arabia</t>
        </is>
      </c>
      <c r="C12" s="2" t="inlineStr">
        <is>
          <t>Eastern Region hospitals dialysis activity</t>
        </is>
      </c>
      <c r="D12" s="2" t="inlineStr">
        <is>
          <t>Saudi Ministry of Health</t>
        </is>
      </c>
      <c r="E12" s="2" t="inlineStr">
        <is>
          <t>2018-01-10</t>
        </is>
      </c>
      <c r="F12" s="2" t="inlineStr">
        <is>
          <t>https://www.moh.gov.sa/en/ministry/mediacenter/news/pages/news-2018-01-10-007.aspx</t>
        </is>
      </c>
      <c r="G12" s="2" t="inlineStr">
        <is>
          <t>OBSERVED</t>
        </is>
      </c>
      <c r="H12" s="2" t="inlineStr">
        <is>
          <t>Al-Dammam Medical Complex and Al-Qatif Central Hospital dialysis activity</t>
        </is>
      </c>
      <c r="I12" s="2" t="inlineStr">
        <is>
          <t>2026-08-10</t>
        </is>
      </c>
    </row>
    <row r="13">
      <c r="A13" s="2" t="inlineStr">
        <is>
          <t>SRC-WEB-006</t>
        </is>
      </c>
      <c r="B13" s="2" t="inlineStr">
        <is>
          <t>Saudi Arabia</t>
        </is>
      </c>
      <c r="C13" s="2" t="inlineStr">
        <is>
          <t>Riyadh: Rowaidat Al-Ardh Hospital dialysis sessions</t>
        </is>
      </c>
      <c r="D13" s="2" t="inlineStr">
        <is>
          <t>Saudi Ministry of Health</t>
        </is>
      </c>
      <c r="E13" s="2" t="inlineStr">
        <is>
          <t>2018-07-01</t>
        </is>
      </c>
      <c r="F13" s="2" t="inlineStr">
        <is>
          <t>https://www.moh.gov.sa/en/ministry/mediacenter/news/pages/news-2018-01-07-0004.aspx</t>
        </is>
      </c>
      <c r="G13" s="2" t="inlineStr">
        <is>
          <t>OBSERVED</t>
        </is>
      </c>
      <c r="H13" s="2" t="inlineStr">
        <is>
          <t>Rowaidat Al-Ardh Hospital dialysis activity</t>
        </is>
      </c>
      <c r="I13" s="2" t="inlineStr">
        <is>
          <t>2026-08-10</t>
        </is>
      </c>
    </row>
    <row r="14">
      <c r="A14" s="2" t="inlineStr">
        <is>
          <t>SRC-WEB-007</t>
        </is>
      </c>
      <c r="B14" s="2" t="inlineStr">
        <is>
          <t>Saudi Arabia</t>
        </is>
      </c>
      <c r="C14" s="2" t="inlineStr">
        <is>
          <t>Riyadh health projects / kidney center</t>
        </is>
      </c>
      <c r="D14" s="2" t="inlineStr">
        <is>
          <t>Saudi Ministry of Health</t>
        </is>
      </c>
      <c r="E14" s="2" t="inlineStr">
        <is>
          <t>2025-04-13</t>
        </is>
      </c>
      <c r="F14" s="2" t="inlineStr">
        <is>
          <t>https://www.moh.gov.sa/en/ministry/mediacenter/news/pages/news-2025-04-13-002.aspx</t>
        </is>
      </c>
      <c r="G14" s="2" t="inlineStr">
        <is>
          <t>OBSERVED</t>
        </is>
      </c>
      <c r="H14" s="2" t="inlineStr">
        <is>
          <t>Al-Qassim Charitable Complex kidney dialysis chairs and Al-Aflaj kidney center</t>
        </is>
      </c>
      <c r="I14" s="2" t="inlineStr">
        <is>
          <t>2026-08-10</t>
        </is>
      </c>
    </row>
    <row r="15">
      <c r="A15" s="2" t="inlineStr">
        <is>
          <t>SRC-WEB-008</t>
        </is>
      </c>
      <c r="B15" s="2" t="inlineStr">
        <is>
          <t>Saudi Arabia</t>
        </is>
      </c>
      <c r="C15" s="2" t="inlineStr">
        <is>
          <t>Jazan dialysis centers and beds</t>
        </is>
      </c>
      <c r="D15" s="2" t="inlineStr">
        <is>
          <t>Saudi Ministry of Health</t>
        </is>
      </c>
      <c r="E15" s="2" t="inlineStr">
        <is>
          <t>2020-05-06</t>
        </is>
      </c>
      <c r="F15" s="2" t="inlineStr">
        <is>
          <t>https://www.moh.gov.sa/en/ministry/mediacenter/news/pages/news-2020-05-06-001.aspx</t>
        </is>
      </c>
      <c r="G15" s="2" t="inlineStr">
        <is>
          <t>OBSERVED</t>
        </is>
      </c>
      <c r="H15" s="2" t="inlineStr">
        <is>
          <t>Jazan dialysis centers and HD patient activity; aggregate only</t>
        </is>
      </c>
      <c r="I15" s="2" t="inlineStr">
        <is>
          <t>2026-08-10</t>
        </is>
      </c>
    </row>
    <row r="16">
      <c r="A16" s="2" t="inlineStr">
        <is>
          <t>SRC-WEB-009</t>
        </is>
      </c>
      <c r="B16" s="2" t="inlineStr">
        <is>
          <t>Saudi Arabia</t>
        </is>
      </c>
      <c r="C16" s="2" t="inlineStr">
        <is>
          <t>Prince Mohammed bin Abdul Aziz Hospital dialysis unit</t>
        </is>
      </c>
      <c r="D16" s="2" t="inlineStr">
        <is>
          <t>Saudi Ministry of Health</t>
        </is>
      </c>
      <c r="E16" s="2" t="inlineStr">
        <is>
          <t>2014-11-18</t>
        </is>
      </c>
      <c r="F16" s="2" t="inlineStr">
        <is>
          <t>https://www.moh.gov.sa/en/ministry/mediacenter/news/pages/news-2014-11-18-002.aspx</t>
        </is>
      </c>
      <c r="G16" s="2" t="inlineStr">
        <is>
          <t>OBSERVED</t>
        </is>
      </c>
      <c r="H16" s="2" t="inlineStr">
        <is>
          <t>Hospital dialysis unit and Diaverum collaboration</t>
        </is>
      </c>
      <c r="I16" s="2" t="inlineStr">
        <is>
          <t>2026-08-10</t>
        </is>
      </c>
    </row>
    <row r="17">
      <c r="A17" s="2" t="inlineStr">
        <is>
          <t>SRC-WEB-010</t>
        </is>
      </c>
      <c r="B17" s="2" t="inlineStr">
        <is>
          <t>Saudi Arabia</t>
        </is>
      </c>
      <c r="C17" s="2" t="inlineStr">
        <is>
          <t>National Chronic Kidney Disease and Dialysis Services Project</t>
        </is>
      </c>
      <c r="D17" s="2" t="inlineStr">
        <is>
          <t>Saudi Ministry of Health</t>
        </is>
      </c>
      <c r="E17" s="2" t="inlineStr">
        <is>
          <t>2026-05-04</t>
        </is>
      </c>
      <c r="F17" s="2" t="inlineStr">
        <is>
          <t>https://www.moh.gov.sa/en/ministry/mediacenter/ads/pages/ads-2026-05-04-001.aspx</t>
        </is>
      </c>
      <c r="G17" s="2" t="inlineStr">
        <is>
          <t>OBSERVED</t>
        </is>
      </c>
      <c r="H17" s="2" t="inlineStr">
        <is>
          <t>2026 national dialysis procurement/PPP landscape; not facility-level existence</t>
        </is>
      </c>
      <c r="I17" s="2" t="inlineStr">
        <is>
          <t>2026-08-10</t>
        </is>
      </c>
    </row>
    <row r="18">
      <c r="A18" s="2" t="inlineStr">
        <is>
          <t>SRC-WEB-011</t>
        </is>
      </c>
      <c r="B18" s="2" t="inlineStr">
        <is>
          <t>UAE</t>
        </is>
      </c>
      <c r="C18" s="2" t="inlineStr">
        <is>
          <t>Dialysis Facilities JAWDA Performance Indicators</t>
        </is>
      </c>
      <c r="D18" s="2" t="inlineStr">
        <is>
          <t>Abu Dhabi Department of Health</t>
        </is>
      </c>
      <c r="E18" s="2" t="inlineStr">
        <is>
          <t>2026-05-01</t>
        </is>
      </c>
      <c r="F18" s="2" t="inlineStr">
        <is>
          <t>https://www.doh.gov.ae/-/media/Feature/Muashir/Jawda/2026/Dialysis-Facilities-Jawda-GuidanceV101Effective-from-Q2-2026.ashx</t>
        </is>
      </c>
      <c r="G18" s="2" t="inlineStr">
        <is>
          <t>OBSERVED</t>
        </is>
      </c>
      <c r="H18" s="2" t="inlineStr">
        <is>
          <t>Licensed dialysis/homecare facilities providing HD in Abu Dhabi</t>
        </is>
      </c>
      <c r="I18" s="2" t="inlineStr">
        <is>
          <t>2026-08-10</t>
        </is>
      </c>
    </row>
    <row r="19">
      <c r="A19" s="2" t="inlineStr">
        <is>
          <t>SRC-WEB-012</t>
        </is>
      </c>
      <c r="B19" s="2" t="inlineStr">
        <is>
          <t>UAE</t>
        </is>
      </c>
      <c r="C19" s="2" t="inlineStr">
        <is>
          <t>Authorized Research Institutes and CROs list - SEHA dialysis services</t>
        </is>
      </c>
      <c r="D19" s="2" t="inlineStr">
        <is>
          <t>Abu Dhabi Department of Health</t>
        </is>
      </c>
      <c r="E19" s="2" t="inlineStr">
        <is>
          <t>2026-08-01</t>
        </is>
      </c>
      <c r="F19" s="2" t="inlineStr">
        <is>
          <t>https://www.doh.gov.ae/en/research/authorized-research-institutes-and-cros</t>
        </is>
      </c>
      <c r="G19" s="2" t="inlineStr">
        <is>
          <t>OBSERVED</t>
        </is>
      </c>
      <c r="H19" s="2" t="inlineStr">
        <is>
          <t>Named SEHA dialysis services facilities</t>
        </is>
      </c>
      <c r="I19" s="2" t="inlineStr">
        <is>
          <t>2026-08-10</t>
        </is>
      </c>
    </row>
    <row r="20">
      <c r="A20" s="2" t="inlineStr">
        <is>
          <t>SRC-WEB-013</t>
        </is>
      </c>
      <c r="B20" s="2" t="inlineStr">
        <is>
          <t>UAE</t>
        </is>
      </c>
      <c r="C20" s="2" t="inlineStr">
        <is>
          <t>Merrimac Dialysis Center facility details</t>
        </is>
      </c>
      <c r="D20" s="2" t="inlineStr">
        <is>
          <t>Dubai Health Authority</t>
        </is>
      </c>
      <c r="E20" s="2" t="inlineStr"/>
      <c r="F20" s="2" t="inlineStr">
        <is>
          <t>https://services.dha.gov.ae/sheryan/wps/portal/home/medical-directory/facility-details?facilityId=8049909</t>
        </is>
      </c>
      <c r="G20" s="2" t="inlineStr">
        <is>
          <t>OBSERVED</t>
        </is>
      </c>
      <c r="H20" s="2" t="inlineStr">
        <is>
          <t>Merrimac Dialysis Center and hemodialysis service</t>
        </is>
      </c>
      <c r="I20" s="2" t="inlineStr">
        <is>
          <t>2026-08-10</t>
        </is>
      </c>
    </row>
    <row r="21">
      <c r="A21" s="2" t="inlineStr">
        <is>
          <t>SRC-WEB-014</t>
        </is>
      </c>
      <c r="B21" s="2" t="inlineStr">
        <is>
          <t>UAE</t>
        </is>
      </c>
      <c r="C21" s="2" t="inlineStr">
        <is>
          <t>Canadian Specialist Hospital facility details</t>
        </is>
      </c>
      <c r="D21" s="2" t="inlineStr">
        <is>
          <t>Dubai Health Authority</t>
        </is>
      </c>
      <c r="E21" s="2" t="inlineStr"/>
      <c r="F21" s="2" t="inlineStr">
        <is>
          <t>https://services.dha.gov.ae/sheryan/wps/portal/home/medical-directory/facility-details?facilityId=0047278</t>
        </is>
      </c>
      <c r="G21" s="2" t="inlineStr">
        <is>
          <t>OBSERVED</t>
        </is>
      </c>
      <c r="H21" s="2" t="inlineStr">
        <is>
          <t>Canadian Specialist Hospital renal dialysis listing</t>
        </is>
      </c>
      <c r="I21" s="2" t="inlineStr">
        <is>
          <t>2026-08-10</t>
        </is>
      </c>
    </row>
    <row r="22">
      <c r="A22" s="2" t="inlineStr">
        <is>
          <t>SRC-WEB-015</t>
        </is>
      </c>
      <c r="B22" s="2" t="inlineStr">
        <is>
          <t>UAE</t>
        </is>
      </c>
      <c r="C22" s="2" t="inlineStr">
        <is>
          <t>American Hospital Dubai facility details</t>
        </is>
      </c>
      <c r="D22" s="2" t="inlineStr">
        <is>
          <t>Dubai Health Authority</t>
        </is>
      </c>
      <c r="E22" s="2" t="inlineStr"/>
      <c r="F22" s="2" t="inlineStr">
        <is>
          <t>https://services.dha.gov.ae/sheryan/wps/portal/home/medical-directory/facility-details?facilityId=0045621</t>
        </is>
      </c>
      <c r="G22" s="2" t="inlineStr">
        <is>
          <t>OBSERVED</t>
        </is>
      </c>
      <c r="H22" s="2" t="inlineStr">
        <is>
          <t>American Hospital Dubai renal dialysis listing</t>
        </is>
      </c>
      <c r="I22" s="2" t="inlineStr">
        <is>
          <t>2026-08-10</t>
        </is>
      </c>
    </row>
    <row r="23">
      <c r="A23" s="2" t="inlineStr">
        <is>
          <t>SRC-WEB-016</t>
        </is>
      </c>
      <c r="B23" s="2" t="inlineStr">
        <is>
          <t>UAE</t>
        </is>
      </c>
      <c r="C23" s="2" t="inlineStr">
        <is>
          <t>Zulekha Hospital facility details</t>
        </is>
      </c>
      <c r="D23" s="2" t="inlineStr">
        <is>
          <t>Dubai Health Authority</t>
        </is>
      </c>
      <c r="E23" s="2" t="inlineStr"/>
      <c r="F23" s="2" t="inlineStr">
        <is>
          <t>https://services.dha.gov.ae/sheryan/wps/portal/home/medical-directory/facility-details?facilityId=0002544</t>
        </is>
      </c>
      <c r="G23" s="2" t="inlineStr">
        <is>
          <t>OBSERVED</t>
        </is>
      </c>
      <c r="H23" s="2" t="inlineStr">
        <is>
          <t>Zulekha Hospital renal dialysis listing</t>
        </is>
      </c>
      <c r="I23" s="2" t="inlineStr">
        <is>
          <t>2026-08-10</t>
        </is>
      </c>
    </row>
    <row r="24">
      <c r="A24" s="2" t="inlineStr">
        <is>
          <t>SRC-WEB-017</t>
        </is>
      </c>
      <c r="B24" s="2" t="inlineStr">
        <is>
          <t>UAE</t>
        </is>
      </c>
      <c r="C24" s="2" t="inlineStr">
        <is>
          <t>Mediclinic Parkview Hospital facility details</t>
        </is>
      </c>
      <c r="D24" s="2" t="inlineStr">
        <is>
          <t>Dubai Health Authority</t>
        </is>
      </c>
      <c r="E24" s="2" t="inlineStr"/>
      <c r="F24" s="2" t="inlineStr">
        <is>
          <t>https://services.dha.gov.ae/sheryan/wps/portal/home/medical-directory/facility-details?facilityId=0002476</t>
        </is>
      </c>
      <c r="G24" s="2" t="inlineStr">
        <is>
          <t>OBSERVED</t>
        </is>
      </c>
      <c r="H24" s="2" t="inlineStr">
        <is>
          <t>Mediclinic Parkview Hospital renal dialysis listing</t>
        </is>
      </c>
      <c r="I24" s="2" t="inlineStr">
        <is>
          <t>2026-08-10</t>
        </is>
      </c>
    </row>
    <row r="25">
      <c r="A25" s="2" t="inlineStr">
        <is>
          <t>SRC-WEB-018</t>
        </is>
      </c>
      <c r="B25" s="2" t="inlineStr">
        <is>
          <t>UAE</t>
        </is>
      </c>
      <c r="C25" s="2" t="inlineStr">
        <is>
          <t>NMC Specialty Hospital Al Nadha facility details</t>
        </is>
      </c>
      <c r="D25" s="2" t="inlineStr">
        <is>
          <t>Dubai Health Authority</t>
        </is>
      </c>
      <c r="E25" s="2" t="inlineStr"/>
      <c r="F25" s="2" t="inlineStr">
        <is>
          <t>https://services.dha.gov.ae/sheryan/wps/portal/home/medical-directory/facility-details?facilityId=0046789</t>
        </is>
      </c>
      <c r="G25" s="2" t="inlineStr">
        <is>
          <t>OBSERVED</t>
        </is>
      </c>
      <c r="H25" s="2" t="inlineStr">
        <is>
          <t>NMC Specialty Hospital renal dialysis listing</t>
        </is>
      </c>
      <c r="I25" s="2" t="inlineStr">
        <is>
          <t>2026-08-10</t>
        </is>
      </c>
    </row>
    <row r="26">
      <c r="A26" s="2" t="inlineStr">
        <is>
          <t>SRC-WEB-019</t>
        </is>
      </c>
      <c r="B26" s="2" t="inlineStr">
        <is>
          <t>UAE</t>
        </is>
      </c>
      <c r="C26" s="2" t="inlineStr">
        <is>
          <t>Home Healthcare / renal dialysis facility listing</t>
        </is>
      </c>
      <c r="D26" s="2" t="inlineStr">
        <is>
          <t>Dubai Health Authority</t>
        </is>
      </c>
      <c r="E26" s="2" t="inlineStr"/>
      <c r="F26" s="2" t="inlineStr">
        <is>
          <t>https://services.dha.gov.ae/sheryan/wps/portal/home/medical-directory/facility-details?facilityId=2897003</t>
        </is>
      </c>
      <c r="G26" s="2" t="inlineStr">
        <is>
          <t>OBSERVED</t>
        </is>
      </c>
      <c r="H26" s="2" t="inlineStr">
        <is>
          <t>Licensed homecare renal dialysis facility listing</t>
        </is>
      </c>
      <c r="I26" s="2" t="inlineStr">
        <is>
          <t>2026-08-10</t>
        </is>
      </c>
    </row>
    <row r="27">
      <c r="A27" s="2" t="inlineStr">
        <is>
          <t>SRC-WEB-020</t>
        </is>
      </c>
      <c r="B27" s="2" t="inlineStr">
        <is>
          <t>UAE</t>
        </is>
      </c>
      <c r="C27" s="2" t="inlineStr">
        <is>
          <t>Cost-Effectiveness of Home Hemodialysis in UAE</t>
        </is>
      </c>
      <c r="D27" s="2" t="inlineStr">
        <is>
          <t>PMC / peer-reviewed</t>
        </is>
      </c>
      <c r="E27" s="2" t="inlineStr">
        <is>
          <t>2021-10-06</t>
        </is>
      </c>
      <c r="F27" s="2" t="inlineStr">
        <is>
          <t>https://pmc.ncbi.nlm.nih.gov/articles/PMC8570984/</t>
        </is>
      </c>
      <c r="G27" s="2" t="inlineStr">
        <is>
          <t>OBSERVED</t>
        </is>
      </c>
      <c r="H27" s="2" t="inlineStr">
        <is>
          <t>Al Mazroui Medical Center and Nephro Care Home Hemodialysis in Abu Dhabi</t>
        </is>
      </c>
      <c r="I27" s="2" t="inlineStr">
        <is>
          <t>2026-08-10</t>
        </is>
      </c>
    </row>
    <row r="28">
      <c r="A28" s="2" t="inlineStr">
        <is>
          <t>SRC-WEB-021</t>
        </is>
      </c>
      <c r="B28" s="2" t="inlineStr">
        <is>
          <t>Qatar</t>
        </is>
      </c>
      <c r="C28" s="2" t="inlineStr">
        <is>
          <t>HMC Dialysis Division</t>
        </is>
      </c>
      <c r="D28" s="2" t="inlineStr">
        <is>
          <t>Hamad Medical Corporation</t>
        </is>
      </c>
      <c r="E28" s="2" t="inlineStr"/>
      <c r="F28" s="2" t="inlineStr">
        <is>
          <t>https://hamad.qa/EN/Hospitals-and-services/Hamad-General-Hospital/Pages/Dialysis-Division.aspx</t>
        </is>
      </c>
      <c r="G28" s="2" t="inlineStr">
        <is>
          <t>OBSERVED</t>
        </is>
      </c>
      <c r="H28" s="2" t="inlineStr">
        <is>
          <t>Named Qatar dialysis facilities and HD modalities</t>
        </is>
      </c>
      <c r="I28" s="2" t="inlineStr">
        <is>
          <t>2026-08-10</t>
        </is>
      </c>
    </row>
    <row r="29">
      <c r="A29" s="2" t="inlineStr">
        <is>
          <t>SRC-WEB-022</t>
        </is>
      </c>
      <c r="B29" s="2" t="inlineStr">
        <is>
          <t>Qatar</t>
        </is>
      </c>
      <c r="C29" s="2" t="inlineStr">
        <is>
          <t>Al Khor Hospital Nephrology and Dialysis Department</t>
        </is>
      </c>
      <c r="D29" s="2" t="inlineStr">
        <is>
          <t>Hamad Medical Corporation</t>
        </is>
      </c>
      <c r="E29" s="2" t="inlineStr"/>
      <c r="F29" s="2" t="inlineStr">
        <is>
          <t>https://hamad.qa/EN/Hospitals-and-services/Al-Khor-Hospital/Hospital%20Services/Clinical%20Departments/Pages/Nephrology-and-Dialysis-Department.aspx</t>
        </is>
      </c>
      <c r="G29" s="2" t="inlineStr">
        <is>
          <t>OBSERVED</t>
        </is>
      </c>
      <c r="H29" s="2" t="inlineStr">
        <is>
          <t>Al Khor Hospital dialysis unit and 22 HD stations</t>
        </is>
      </c>
      <c r="I29" s="2" t="inlineStr">
        <is>
          <t>2026-08-10</t>
        </is>
      </c>
    </row>
    <row r="30">
      <c r="A30" s="2" t="inlineStr">
        <is>
          <t>SRC-WEB-023</t>
        </is>
      </c>
      <c r="B30" s="2" t="inlineStr">
        <is>
          <t>Qatar</t>
        </is>
      </c>
      <c r="C30" s="2" t="inlineStr">
        <is>
          <t>New Ambulatory Dialysis Unit at Muaither Health Center</t>
        </is>
      </c>
      <c r="D30" s="2" t="inlineStr">
        <is>
          <t>Hamad Medical Corporation</t>
        </is>
      </c>
      <c r="E30" s="2" t="inlineStr">
        <is>
          <t>2024-05-12</t>
        </is>
      </c>
      <c r="F30" s="2" t="inlineStr">
        <is>
          <t>https://hamad.qa/EN/news/2024/May/Pages/New-Ambulatory-Dialysis-Unit-at-Muaither-Health-Center-Officially-Opens.aspx</t>
        </is>
      </c>
      <c r="G30" s="2" t="inlineStr">
        <is>
          <t>OBSERVED</t>
        </is>
      </c>
      <c r="H30" s="2" t="inlineStr">
        <is>
          <t>Muaither Health Center ambulatory dialysis unit, 8 beds</t>
        </is>
      </c>
      <c r="I30" s="2" t="inlineStr">
        <is>
          <t>2026-08-10</t>
        </is>
      </c>
    </row>
    <row r="31">
      <c r="A31" s="2" t="inlineStr">
        <is>
          <t>SRC-WEB-024</t>
        </is>
      </c>
      <c r="B31" s="2" t="inlineStr">
        <is>
          <t>Qatar</t>
        </is>
      </c>
      <c r="C31" s="2" t="inlineStr">
        <is>
          <t>Effects of Distance, Time and Nonspatial Factors on Hemodialysis Access in Qatar</t>
        </is>
      </c>
      <c r="D31" s="2" t="inlineStr">
        <is>
          <t>PMC / peer-reviewed</t>
        </is>
      </c>
      <c r="E31" s="2" t="inlineStr">
        <is>
          <t>2024-05-01</t>
        </is>
      </c>
      <c r="F31" s="2" t="inlineStr">
        <is>
          <t>https://pmc.ncbi.nlm.nih.gov/articles/PMC11102569/</t>
        </is>
      </c>
      <c r="G31" s="2" t="inlineStr">
        <is>
          <t>OBSERVED</t>
        </is>
      </c>
      <c r="H31" s="2" t="inlineStr">
        <is>
          <t>2021 Qatar dialysis facilities, stations, shifts and capacity</t>
        </is>
      </c>
      <c r="I31" s="2" t="inlineStr">
        <is>
          <t>2026-08-10</t>
        </is>
      </c>
    </row>
    <row r="32">
      <c r="A32" s="2" t="inlineStr">
        <is>
          <t>SRC-WEB-025</t>
        </is>
      </c>
      <c r="B32" s="2" t="inlineStr">
        <is>
          <t>Qatar</t>
        </is>
      </c>
      <c r="C32" s="2" t="inlineStr">
        <is>
          <t>COVID-19 dialysis cohort in Qatar</t>
        </is>
      </c>
      <c r="D32" s="2" t="inlineStr">
        <is>
          <t>PMC / peer-reviewed</t>
        </is>
      </c>
      <c r="E32" s="2" t="inlineStr">
        <is>
          <t>2021-07-01</t>
        </is>
      </c>
      <c r="F32" s="2" t="inlineStr">
        <is>
          <t>https://pmc.ncbi.nlm.nih.gov/articles/PMC8297751/</t>
        </is>
      </c>
      <c r="G32" s="2" t="inlineStr">
        <is>
          <t>OBSERVED</t>
        </is>
      </c>
      <c r="H32" s="2" t="inlineStr">
        <is>
          <t>Three renal centers and four satellite HD units in Qatar</t>
        </is>
      </c>
      <c r="I32" s="2" t="inlineStr">
        <is>
          <t>2026-08-10</t>
        </is>
      </c>
    </row>
    <row r="33">
      <c r="A33" s="2" t="inlineStr">
        <is>
          <t>SRC-WEB-026</t>
        </is>
      </c>
      <c r="B33" s="2" t="inlineStr">
        <is>
          <t>Qatar</t>
        </is>
      </c>
      <c r="C33" s="2" t="inlineStr">
        <is>
          <t>Enaya and Daam Specialized Care Centers</t>
        </is>
      </c>
      <c r="D33" s="2" t="inlineStr">
        <is>
          <t>Hamad Medical Corporation</t>
        </is>
      </c>
      <c r="E33" s="2" t="inlineStr"/>
      <c r="F33" s="2" t="inlineStr">
        <is>
          <t>https://hamad.qa/EN/Hospitals-and-services/Enaya-and-Daam/Pages/default.aspx</t>
        </is>
      </c>
      <c r="G33" s="2" t="inlineStr">
        <is>
          <t>OBSERVED</t>
        </is>
      </c>
      <c r="H33" s="2" t="inlineStr">
        <is>
          <t>Daam on-site hemodialysis in long-term care</t>
        </is>
      </c>
      <c r="I33" s="2" t="inlineStr">
        <is>
          <t>2026-08-10</t>
        </is>
      </c>
    </row>
    <row r="34">
      <c r="A34" s="2" t="inlineStr">
        <is>
          <t>SRC-WEB-027</t>
        </is>
      </c>
      <c r="B34" s="2" t="inlineStr">
        <is>
          <t>Kuwait</t>
        </is>
      </c>
      <c r="C34" s="2" t="inlineStr">
        <is>
          <t>Global Dialysis Perspective: Kuwait</t>
        </is>
      </c>
      <c r="D34" s="2" t="inlineStr">
        <is>
          <t>Kidney360 / PMC</t>
        </is>
      </c>
      <c r="E34" s="2" t="inlineStr">
        <is>
          <t>2021-06-01</t>
        </is>
      </c>
      <c r="F34" s="2" t="inlineStr">
        <is>
          <t>https://pmc.ncbi.nlm.nih.gov/articles/PMC8791361/</t>
        </is>
      </c>
      <c r="G34" s="2" t="inlineStr">
        <is>
          <t>OBSERVED</t>
        </is>
      </c>
      <c r="H34" s="2" t="inlineStr">
        <is>
          <t>Kuwait hospital-based HD, satellites, military and KOC dialysis</t>
        </is>
      </c>
      <c r="I34" s="2" t="inlineStr">
        <is>
          <t>2026-08-10</t>
        </is>
      </c>
    </row>
    <row r="35">
      <c r="A35" s="2" t="inlineStr">
        <is>
          <t>SRC-WEB-028</t>
        </is>
      </c>
      <c r="B35" s="2" t="inlineStr">
        <is>
          <t>Kuwait</t>
        </is>
      </c>
      <c r="C35" s="2" t="inlineStr">
        <is>
          <t>Multicenter AKI study in seven Kuwait MOH hospitals</t>
        </is>
      </c>
      <c r="D35" s="2" t="inlineStr">
        <is>
          <t>PMC / peer-reviewed</t>
        </is>
      </c>
      <c r="E35" s="2" t="inlineStr">
        <is>
          <t>2025-06-01</t>
        </is>
      </c>
      <c r="F35" s="2" t="inlineStr">
        <is>
          <t>https://pmc.ncbi.nlm.nih.gov/articles/PMC12133130/</t>
        </is>
      </c>
      <c r="G35" s="2" t="inlineStr">
        <is>
          <t>OBSERVED</t>
        </is>
      </c>
      <c r="H35" s="2" t="inlineStr">
        <is>
          <t>Seven named MOH hospitals providing inpatient dialysis</t>
        </is>
      </c>
      <c r="I35" s="2" t="inlineStr">
        <is>
          <t>2026-08-10</t>
        </is>
      </c>
    </row>
    <row r="36">
      <c r="A36" s="2" t="inlineStr">
        <is>
          <t>SRC-WEB-029</t>
        </is>
      </c>
      <c r="B36" s="2" t="inlineStr">
        <is>
          <t>Kuwait</t>
        </is>
      </c>
      <c r="C36" s="2" t="inlineStr">
        <is>
          <t>Al Khozam Dialysis Unit at Al-Adan Hospital</t>
        </is>
      </c>
      <c r="D36" s="2" t="inlineStr">
        <is>
          <t>PMC / peer-reviewed</t>
        </is>
      </c>
      <c r="E36" s="2" t="inlineStr">
        <is>
          <t>2018-01-01</t>
        </is>
      </c>
      <c r="F36" s="2" t="inlineStr">
        <is>
          <t>https://pmc.ncbi.nlm.nih.gov/articles/PMC6170898/</t>
        </is>
      </c>
      <c r="G36" s="2" t="inlineStr">
        <is>
          <t>OBSERVED</t>
        </is>
      </c>
      <c r="H36" s="2" t="inlineStr">
        <is>
          <t>Al Khozam Dialysis Unit and 60 HD beds</t>
        </is>
      </c>
      <c r="I36" s="2" t="inlineStr">
        <is>
          <t>2026-08-10</t>
        </is>
      </c>
    </row>
    <row r="37">
      <c r="A37" s="2" t="inlineStr">
        <is>
          <t>SRC-WEB-030</t>
        </is>
      </c>
      <c r="B37" s="2" t="inlineStr">
        <is>
          <t>Oman</t>
        </is>
      </c>
      <c r="C37" s="2" t="inlineStr">
        <is>
          <t>Epidemiological Transition of ESKD in Oman</t>
        </is>
      </c>
      <c r="D37" s="2" t="inlineStr">
        <is>
          <t>PMC / peer-reviewed</t>
        </is>
      </c>
      <c r="E37" s="2" t="inlineStr">
        <is>
          <t>2017-01-01</t>
        </is>
      </c>
      <c r="F37" s="2" t="inlineStr">
        <is>
          <t>https://pmc.ncbi.nlm.nih.gov/articles/PMC5678924/</t>
        </is>
      </c>
      <c r="G37" s="2" t="inlineStr">
        <is>
          <t>OBSERVED</t>
        </is>
      </c>
      <c r="H37" s="2" t="inlineStr">
        <is>
          <t>Named Oman dialysis facilities and historical bed counts</t>
        </is>
      </c>
      <c r="I37" s="2" t="inlineStr">
        <is>
          <t>2026-08-10</t>
        </is>
      </c>
    </row>
    <row r="38">
      <c r="A38" s="2" t="inlineStr">
        <is>
          <t>SRC-WEB-031</t>
        </is>
      </c>
      <c r="B38" s="2" t="inlineStr">
        <is>
          <t>Oman</t>
        </is>
      </c>
      <c r="C38" s="2" t="inlineStr">
        <is>
          <t>National HCV study in Oman HD facilities</t>
        </is>
      </c>
      <c r="D38" s="2" t="inlineStr">
        <is>
          <t>PMC / peer-reviewed</t>
        </is>
      </c>
      <c r="E38" s="2" t="inlineStr">
        <is>
          <t>2023-01-01</t>
        </is>
      </c>
      <c r="F38" s="2" t="inlineStr">
        <is>
          <t>https://pmc.ncbi.nlm.nih.gov/articles/PMC10686920/</t>
        </is>
      </c>
      <c r="G38" s="2" t="inlineStr">
        <is>
          <t>OBSERVED</t>
        </is>
      </c>
      <c r="H38" s="2" t="inlineStr">
        <is>
          <t>Named Oman HD facilities active in study period</t>
        </is>
      </c>
      <c r="I38" s="2" t="inlineStr">
        <is>
          <t>2026-08-10</t>
        </is>
      </c>
    </row>
    <row r="39">
      <c r="A39" s="2" t="inlineStr">
        <is>
          <t>SRC-WEB-032</t>
        </is>
      </c>
      <c r="B39" s="2" t="inlineStr">
        <is>
          <t>Oman</t>
        </is>
      </c>
      <c r="C39" s="2" t="inlineStr">
        <is>
          <t>Bausher Dialysis Unit study</t>
        </is>
      </c>
      <c r="D39" s="2" t="inlineStr">
        <is>
          <t>PMC / peer-reviewed</t>
        </is>
      </c>
      <c r="E39" s="2" t="inlineStr">
        <is>
          <t>2021-01-01</t>
        </is>
      </c>
      <c r="F39" s="2" t="inlineStr">
        <is>
          <t>https://pmc.ncbi.nlm.nih.gov/articles/PMC8049780/</t>
        </is>
      </c>
      <c r="G39" s="2" t="inlineStr">
        <is>
          <t>OBSERVED</t>
        </is>
      </c>
      <c r="H39" s="2" t="inlineStr">
        <is>
          <t>Bausher dialysis unit and 42 dialysis units/stations</t>
        </is>
      </c>
      <c r="I39" s="2" t="inlineStr">
        <is>
          <t>2026-08-10</t>
        </is>
      </c>
    </row>
    <row r="40">
      <c r="A40" s="2" t="inlineStr">
        <is>
          <t>SRC-WEB-033</t>
        </is>
      </c>
      <c r="B40" s="2" t="inlineStr">
        <is>
          <t>Oman</t>
        </is>
      </c>
      <c r="C40" s="2" t="inlineStr">
        <is>
          <t>Al Amerat Renal Dialysis Center opening</t>
        </is>
      </c>
      <c r="D40" s="2" t="inlineStr">
        <is>
          <t>Oman Ministry of Health</t>
        </is>
      </c>
      <c r="E40" s="2" t="inlineStr">
        <is>
          <t>2022-03-31</t>
        </is>
      </c>
      <c r="F40" s="2" t="inlineStr">
        <is>
          <t>https://moh.gov.om/en/media-center/news/new-dialysis-center-in-al-amerat-opened/</t>
        </is>
      </c>
      <c r="G40" s="2" t="inlineStr">
        <is>
          <t>OBSERVED</t>
        </is>
      </c>
      <c r="H40" s="2" t="inlineStr">
        <is>
          <t>Al Amerat renal dialysis center and 42 beds</t>
        </is>
      </c>
      <c r="I40" s="2" t="inlineStr">
        <is>
          <t>2026-08-10</t>
        </is>
      </c>
    </row>
    <row r="41">
      <c r="A41" s="2" t="inlineStr">
        <is>
          <t>SRC-WEB-034</t>
        </is>
      </c>
      <c r="B41" s="2" t="inlineStr">
        <is>
          <t>Oman</t>
        </is>
      </c>
      <c r="C41" s="2" t="inlineStr">
        <is>
          <t>Ibra Hospital official page</t>
        </is>
      </c>
      <c r="D41" s="2" t="inlineStr">
        <is>
          <t>Oman Ministry of Health</t>
        </is>
      </c>
      <c r="E41" s="2" t="inlineStr"/>
      <c r="F41" s="2" t="inlineStr">
        <is>
          <t>https://moh.gov.om/en/hospitals-directorates/hospitals/ibra-hospital/</t>
        </is>
      </c>
      <c r="G41" s="2" t="inlineStr">
        <is>
          <t>OBSERVED</t>
        </is>
      </c>
      <c r="H41" s="2" t="inlineStr">
        <is>
          <t>Ibra Hospital renal dialysis unit</t>
        </is>
      </c>
      <c r="I41" s="2" t="inlineStr">
        <is>
          <t>2026-08-10</t>
        </is>
      </c>
    </row>
    <row r="42">
      <c r="A42" s="2" t="inlineStr">
        <is>
          <t>SRC-WEB-035</t>
        </is>
      </c>
      <c r="B42" s="2" t="inlineStr">
        <is>
          <t>Oman</t>
        </is>
      </c>
      <c r="C42" s="2" t="inlineStr">
        <is>
          <t>Al Seeb Renal Dialysis Center official page</t>
        </is>
      </c>
      <c r="D42" s="2" t="inlineStr">
        <is>
          <t>Oman Ministry of Health</t>
        </is>
      </c>
      <c r="E42" s="2" t="inlineStr"/>
      <c r="F42" s="2" t="inlineStr">
        <is>
          <t>https://moh.gov.om/en/hospitals-directorates/health-centers/al-seeb-renal-dialysis-center/</t>
        </is>
      </c>
      <c r="G42" s="2" t="inlineStr">
        <is>
          <t>OBSERVED</t>
        </is>
      </c>
      <c r="H42" s="2" t="inlineStr">
        <is>
          <t>Al Seeb renal dialysis center</t>
        </is>
      </c>
      <c r="I42" s="2" t="inlineStr">
        <is>
          <t>2026-08-10</t>
        </is>
      </c>
    </row>
    <row r="43">
      <c r="A43" s="2" t="inlineStr">
        <is>
          <t>SRC-WEB-036</t>
        </is>
      </c>
      <c r="B43" s="2" t="inlineStr">
        <is>
          <t>Oman</t>
        </is>
      </c>
      <c r="C43" s="2" t="inlineStr">
        <is>
          <t>Bausher Renal Dialysis Center official page</t>
        </is>
      </c>
      <c r="D43" s="2" t="inlineStr">
        <is>
          <t>Oman Ministry of Health</t>
        </is>
      </c>
      <c r="E43" s="2" t="inlineStr"/>
      <c r="F43" s="2" t="inlineStr">
        <is>
          <t>https://moh.gov.om/en/hospitals-directorates/health-centers/renal-dialysis-center/</t>
        </is>
      </c>
      <c r="G43" s="2" t="inlineStr">
        <is>
          <t>OBSERVED</t>
        </is>
      </c>
      <c r="H43" s="2" t="inlineStr">
        <is>
          <t>Bausher renal dialysis center</t>
        </is>
      </c>
      <c r="I43" s="2" t="inlineStr">
        <is>
          <t>2026-08-10</t>
        </is>
      </c>
    </row>
    <row r="44">
      <c r="A44" s="2" t="inlineStr">
        <is>
          <t>SRC-WEB-037</t>
        </is>
      </c>
      <c r="B44" s="2" t="inlineStr">
        <is>
          <t>Bahrain</t>
        </is>
      </c>
      <c r="C44" s="2" t="inlineStr">
        <is>
          <t>Bahrain Annual Health Statistics 2021-2022</t>
        </is>
      </c>
      <c r="D44" s="2" t="inlineStr">
        <is>
          <t>Bahrain Ministry of Health</t>
        </is>
      </c>
      <c r="E44" s="2" t="inlineStr">
        <is>
          <t>2025-01-01</t>
        </is>
      </c>
      <c r="F44" s="2" t="inlineStr">
        <is>
          <t>https://www.moh.gov.bh/Content/Upload/File/638728900890233427-Annual-Health-Statistic-2021-2022--Report_en.pdf</t>
        </is>
      </c>
      <c r="G44" s="2" t="inlineStr">
        <is>
          <t>OBSERVED</t>
        </is>
      </c>
      <c r="H44" s="2" t="inlineStr">
        <is>
          <t>Abdulrahman Kanoo Dialysis Center government dialysis services</t>
        </is>
      </c>
      <c r="I44" s="2" t="inlineStr">
        <is>
          <t>2026-08-10</t>
        </is>
      </c>
    </row>
    <row r="45">
      <c r="A45" s="2" t="inlineStr">
        <is>
          <t>SRC-WEB-038</t>
        </is>
      </c>
      <c r="B45" s="2" t="inlineStr">
        <is>
          <t>Bahrain</t>
        </is>
      </c>
      <c r="C45" s="2" t="inlineStr">
        <is>
          <t>Hemodialysis sleep study at Abdulrahman Kanoo Dialysis Centre</t>
        </is>
      </c>
      <c r="D45" s="2" t="inlineStr">
        <is>
          <t>PLOS One / PMC</t>
        </is>
      </c>
      <c r="E45" s="2" t="inlineStr">
        <is>
          <t>2026-06-17</t>
        </is>
      </c>
      <c r="F45" s="2" t="inlineStr">
        <is>
          <t>https://pmc.ncbi.nlm.nih.gov/articles/PMC13274879/</t>
        </is>
      </c>
      <c r="G45" s="2" t="inlineStr">
        <is>
          <t>OBSERVED</t>
        </is>
      </c>
      <c r="H45" s="2" t="inlineStr">
        <is>
          <t>Abdulrahman Kanoo Dialysis Centre HD and 48 beds</t>
        </is>
      </c>
      <c r="I45" s="2" t="inlineStr">
        <is>
          <t>2026-08-10</t>
        </is>
      </c>
    </row>
    <row r="46">
      <c r="A46" s="2" t="inlineStr">
        <is>
          <t>SRC-WEB-039</t>
        </is>
      </c>
      <c r="B46" s="2" t="inlineStr">
        <is>
          <t>Bahrain</t>
        </is>
      </c>
      <c r="C46" s="2" t="inlineStr">
        <is>
          <t>Quality of Life in Hemodialysis Versus Peritoneal Dialysis Patients</t>
        </is>
      </c>
      <c r="D46" s="2" t="inlineStr">
        <is>
          <t>PMC / peer-reviewed</t>
        </is>
      </c>
      <c r="E46" s="2" t="inlineStr">
        <is>
          <t>2023-01-01</t>
        </is>
      </c>
      <c r="F46" s="2" t="inlineStr">
        <is>
          <t>https://pmc.ncbi.nlm.nih.gov/articles/PMC10750137/</t>
        </is>
      </c>
      <c r="G46" s="2" t="inlineStr">
        <is>
          <t>OBSERVED</t>
        </is>
      </c>
      <c r="H46" s="2" t="inlineStr">
        <is>
          <t>Salmaniya Medical Complex HD/PD activity</t>
        </is>
      </c>
      <c r="I46" s="2" t="inlineStr">
        <is>
          <t>2026-08-10</t>
        </is>
      </c>
    </row>
    <row r="47">
      <c r="A47" s="2" t="inlineStr">
        <is>
          <t>SRC-WEB-040</t>
        </is>
      </c>
      <c r="B47" s="2" t="inlineStr">
        <is>
          <t>Jordan</t>
        </is>
      </c>
      <c r="C47" s="2" t="inlineStr">
        <is>
          <t>Nationwide HBV study among Jordanian HD patients</t>
        </is>
      </c>
      <c r="D47" s="2" t="inlineStr">
        <is>
          <t>PMC / peer-reviewed</t>
        </is>
      </c>
      <c r="E47" s="2" t="inlineStr">
        <is>
          <t>2024-01-01</t>
        </is>
      </c>
      <c r="F47" s="2" t="inlineStr">
        <is>
          <t>https://pmc.ncbi.nlm.nih.gov/articles/PMC11486397/</t>
        </is>
      </c>
      <c r="G47" s="2" t="inlineStr">
        <is>
          <t>OBSERVED</t>
        </is>
      </c>
      <c r="H47" s="2" t="inlineStr">
        <is>
          <t>Seven Jordanian hospitals with HD units</t>
        </is>
      </c>
      <c r="I47" s="2" t="inlineStr">
        <is>
          <t>2026-08-10</t>
        </is>
      </c>
    </row>
    <row r="48">
      <c r="A48" s="2" t="inlineStr">
        <is>
          <t>SRC-WEB-041</t>
        </is>
      </c>
      <c r="B48" s="2" t="inlineStr">
        <is>
          <t>Jordan</t>
        </is>
      </c>
      <c r="C48" s="2" t="inlineStr">
        <is>
          <t>Predictors of poor HRQoL among HD patients in Jordan</t>
        </is>
      </c>
      <c r="D48" s="2" t="inlineStr">
        <is>
          <t>PMC / peer-reviewed</t>
        </is>
      </c>
      <c r="E48" s="2" t="inlineStr">
        <is>
          <t>2021-01-01</t>
        </is>
      </c>
      <c r="F48" s="2" t="inlineStr">
        <is>
          <t>https://pmc.ncbi.nlm.nih.gov/articles/PMC8709968/</t>
        </is>
      </c>
      <c r="G48" s="2" t="inlineStr">
        <is>
          <t>OBSERVED</t>
        </is>
      </c>
      <c r="H48" s="2" t="inlineStr">
        <is>
          <t>KAUH, JUH, Princess Basma, Al-Ramtha HD clinics</t>
        </is>
      </c>
      <c r="I48" s="2" t="inlineStr">
        <is>
          <t>2026-08-10</t>
        </is>
      </c>
    </row>
    <row r="49">
      <c r="A49" s="2" t="inlineStr">
        <is>
          <t>SRC-WEB-042</t>
        </is>
      </c>
      <c r="B49" s="2" t="inlineStr">
        <is>
          <t>Jordan</t>
        </is>
      </c>
      <c r="C49" s="2" t="inlineStr">
        <is>
          <t>AF prevalence in Jordanian hemodialysis patients</t>
        </is>
      </c>
      <c r="D49" s="2" t="inlineStr">
        <is>
          <t>PMC / peer-reviewed</t>
        </is>
      </c>
      <c r="E49" s="2" t="inlineStr">
        <is>
          <t>2020-04-01</t>
        </is>
      </c>
      <c r="F49" s="2" t="inlineStr">
        <is>
          <t>https://pmc.ncbi.nlm.nih.gov/articles/PMC7175504/</t>
        </is>
      </c>
      <c r="G49" s="2" t="inlineStr">
        <is>
          <t>OBSERVED</t>
        </is>
      </c>
      <c r="H49" s="2" t="inlineStr">
        <is>
          <t>Jordan University Hospital, Al-Essra, Al-Bashir and Islamic Hospital HD centers</t>
        </is>
      </c>
      <c r="I49" s="2" t="inlineStr">
        <is>
          <t>2026-08-10</t>
        </is>
      </c>
    </row>
    <row r="50">
      <c r="A50" s="2" t="inlineStr">
        <is>
          <t>SRC-WEB-043</t>
        </is>
      </c>
      <c r="B50" s="2" t="inlineStr">
        <is>
          <t>Jordan</t>
        </is>
      </c>
      <c r="C50" s="2" t="inlineStr">
        <is>
          <t>Prince Hamza Hospital HD unit study</t>
        </is>
      </c>
      <c r="D50" s="2" t="inlineStr">
        <is>
          <t>PMC / peer-reviewed</t>
        </is>
      </c>
      <c r="E50" s="2" t="inlineStr">
        <is>
          <t>2025-01-01</t>
        </is>
      </c>
      <c r="F50" s="2" t="inlineStr">
        <is>
          <t>https://pmc.ncbi.nlm.nih.gov/articles/PMC11700451/</t>
        </is>
      </c>
      <c r="G50" s="2" t="inlineStr">
        <is>
          <t>OBSERVED</t>
        </is>
      </c>
      <c r="H50" s="2" t="inlineStr">
        <is>
          <t>Prince Hamza Hospital dialysis unit</t>
        </is>
      </c>
      <c r="I50" s="2" t="inlineStr">
        <is>
          <t>2026-08-10</t>
        </is>
      </c>
    </row>
    <row r="51">
      <c r="A51" s="2" t="inlineStr">
        <is>
          <t>SRC-WEB-044</t>
        </is>
      </c>
      <c r="B51" s="2" t="inlineStr">
        <is>
          <t>Lebanon</t>
        </is>
      </c>
      <c r="C51" s="2" t="inlineStr">
        <is>
          <t>Global Dialysis Perspective: Lebanon</t>
        </is>
      </c>
      <c r="D51" s="2" t="inlineStr">
        <is>
          <t>Kidney360 / PMC</t>
        </is>
      </c>
      <c r="E51" s="2" t="inlineStr">
        <is>
          <t>2023-01-01</t>
        </is>
      </c>
      <c r="F51" s="2" t="inlineStr">
        <is>
          <t>https://pmc.ncbi.nlm.nih.gov/articles/PMC10547222/</t>
        </is>
      </c>
      <c r="G51" s="2" t="inlineStr">
        <is>
          <t>OBSERVED</t>
        </is>
      </c>
      <c r="H51" s="2" t="inlineStr">
        <is>
          <t>Hospital-based HD model in Lebanon</t>
        </is>
      </c>
      <c r="I51" s="2" t="inlineStr">
        <is>
          <t>2026-08-10</t>
        </is>
      </c>
    </row>
    <row r="52">
      <c r="A52" s="2" t="inlineStr">
        <is>
          <t>SRC-WEB-045</t>
        </is>
      </c>
      <c r="B52" s="2" t="inlineStr">
        <is>
          <t>Lebanon</t>
        </is>
      </c>
      <c r="C52" s="2" t="inlineStr">
        <is>
          <t>National HCV study in Lebanese HD centers</t>
        </is>
      </c>
      <c r="D52" s="2" t="inlineStr">
        <is>
          <t>PMC / peer-reviewed</t>
        </is>
      </c>
      <c r="E52" s="2" t="inlineStr">
        <is>
          <t>2016-01-01</t>
        </is>
      </c>
      <c r="F52" s="2" t="inlineStr">
        <is>
          <t>https://pmc.ncbi.nlm.nih.gov/articles/PMC4707162/</t>
        </is>
      </c>
      <c r="G52" s="2" t="inlineStr">
        <is>
          <t>OBSERVED</t>
        </is>
      </c>
      <c r="H52" s="2" t="inlineStr">
        <is>
          <t>60 HD centers in Lebanon and governorate distribution</t>
        </is>
      </c>
      <c r="I52" s="2" t="inlineStr">
        <is>
          <t>2026-08-10</t>
        </is>
      </c>
    </row>
    <row r="53">
      <c r="A53" s="2" t="inlineStr">
        <is>
          <t>SRC-WEB-046</t>
        </is>
      </c>
      <c r="B53" s="2" t="inlineStr">
        <is>
          <t>Lebanon</t>
        </is>
      </c>
      <c r="C53" s="2" t="inlineStr">
        <is>
          <t>Lebanese national HD COVID study</t>
        </is>
      </c>
      <c r="D53" s="2" t="inlineStr">
        <is>
          <t>PMC / peer-reviewed</t>
        </is>
      </c>
      <c r="E53" s="2" t="inlineStr">
        <is>
          <t>2021-01-01</t>
        </is>
      </c>
      <c r="F53" s="2" t="inlineStr">
        <is>
          <t>https://pmc.ncbi.nlm.nih.gov/articles/PMC7912967/</t>
        </is>
      </c>
      <c r="G53" s="2" t="inlineStr">
        <is>
          <t>OBSERVED</t>
        </is>
      </c>
      <c r="H53" s="2" t="inlineStr">
        <is>
          <t>Named Lebanese hospitals participating in HD cohort</t>
        </is>
      </c>
      <c r="I53" s="2" t="inlineStr">
        <is>
          <t>2026-08-10</t>
        </is>
      </c>
    </row>
    <row r="54">
      <c r="A54" s="2" t="inlineStr">
        <is>
          <t>SRC-WEB-047</t>
        </is>
      </c>
      <c r="B54" s="2" t="inlineStr">
        <is>
          <t>Lebanon</t>
        </is>
      </c>
      <c r="C54" s="2" t="inlineStr">
        <is>
          <t>Multicenter hemodialysis trial in Lebanon</t>
        </is>
      </c>
      <c r="D54" s="2" t="inlineStr">
        <is>
          <t>PMC / peer-reviewed</t>
        </is>
      </c>
      <c r="E54" s="2" t="inlineStr">
        <is>
          <t>2025-01-01</t>
        </is>
      </c>
      <c r="F54" s="2" t="inlineStr">
        <is>
          <t>https://pmc.ncbi.nlm.nih.gov/articles/PMC11972488/</t>
        </is>
      </c>
      <c r="G54" s="2" t="inlineStr">
        <is>
          <t>OBSERVED</t>
        </is>
      </c>
      <c r="H54" s="2" t="inlineStr">
        <is>
          <t>Named Lebanese hospitals with HD units</t>
        </is>
      </c>
      <c r="I54" s="2" t="inlineStr">
        <is>
          <t>2026-08-10</t>
        </is>
      </c>
    </row>
    <row r="55">
      <c r="A55" s="2" t="inlineStr">
        <is>
          <t>SRC-WEB-048</t>
        </is>
      </c>
      <c r="B55" s="2" t="inlineStr">
        <is>
          <t>Lebanon</t>
        </is>
      </c>
      <c r="C55" s="2" t="inlineStr">
        <is>
          <t>Routine laboratory testing in Lebanese HD units</t>
        </is>
      </c>
      <c r="D55" s="2" t="inlineStr">
        <is>
          <t>PMC / peer-reviewed</t>
        </is>
      </c>
      <c r="E55" s="2" t="inlineStr">
        <is>
          <t>2022-01-01</t>
        </is>
      </c>
      <c r="F55" s="2" t="inlineStr">
        <is>
          <t>https://pmc.ncbi.nlm.nih.gov/articles/PMC9615394/</t>
        </is>
      </c>
      <c r="G55" s="2" t="inlineStr">
        <is>
          <t>OBSERVED</t>
        </is>
      </c>
      <c r="H55" s="2" t="inlineStr">
        <is>
          <t>HDF, Saint-Georges Ajaltoun and Bellevue HD units</t>
        </is>
      </c>
      <c r="I55" s="2" t="inlineStr">
        <is>
          <t>2026-08-10</t>
        </is>
      </c>
    </row>
    <row r="56">
      <c r="A56" s="2" t="inlineStr">
        <is>
          <t>SRC-WEB-049</t>
        </is>
      </c>
      <c r="B56" s="2" t="inlineStr">
        <is>
          <t>Iraq</t>
        </is>
      </c>
      <c r="C56" s="2" t="inlineStr">
        <is>
          <t>Evaluation of Dialysis Water Quality at Hospitals in Baghdad</t>
        </is>
      </c>
      <c r="D56" s="2" t="inlineStr">
        <is>
          <t>PMC / peer-reviewed</t>
        </is>
      </c>
      <c r="E56" s="2" t="inlineStr">
        <is>
          <t>2020-01-01</t>
        </is>
      </c>
      <c r="F56" s="2" t="inlineStr">
        <is>
          <t>https://pmc.ncbi.nlm.nih.gov/articles/PMC7731494/</t>
        </is>
      </c>
      <c r="G56" s="2" t="inlineStr">
        <is>
          <t>OBSERVED</t>
        </is>
      </c>
      <c r="H56" s="2" t="inlineStr">
        <is>
          <t>2018 Iraqi MOH 19 dialysis centers; 11 in Baghdad; average machines per center</t>
        </is>
      </c>
      <c r="I56" s="2" t="inlineStr">
        <is>
          <t>2026-08-10</t>
        </is>
      </c>
    </row>
    <row r="57">
      <c r="A57" s="2" t="inlineStr">
        <is>
          <t>SRC-WEB-050</t>
        </is>
      </c>
      <c r="B57" s="2" t="inlineStr">
        <is>
          <t>Iraq</t>
        </is>
      </c>
      <c r="C57" s="2" t="inlineStr">
        <is>
          <t>Current status of hemodialysis in Iraq</t>
        </is>
      </c>
      <c r="D57" s="2" t="inlineStr">
        <is>
          <t>Iraqi National Journal of Medicine</t>
        </is>
      </c>
      <c r="E57" s="2" t="inlineStr">
        <is>
          <t>2025-01-16</t>
        </is>
      </c>
      <c r="F57" s="2" t="inlineStr">
        <is>
          <t>https://iqnjm.com/index.php/homepage/article/view/187</t>
        </is>
      </c>
      <c r="G57" s="2" t="inlineStr">
        <is>
          <t>OBSERVED</t>
        </is>
      </c>
      <c r="H57" s="2" t="inlineStr">
        <is>
          <t>2023 HD patients across all Iraqi governorates</t>
        </is>
      </c>
      <c r="I57" s="2" t="inlineStr">
        <is>
          <t>2026-08-10</t>
        </is>
      </c>
    </row>
    <row r="58">
      <c r="A58" s="2" t="inlineStr">
        <is>
          <t>SRC-WEB-051</t>
        </is>
      </c>
      <c r="B58" s="2" t="inlineStr">
        <is>
          <t>Iraq</t>
        </is>
      </c>
      <c r="C58" s="2" t="inlineStr">
        <is>
          <t>Current status of hemodialysis in Baghdad</t>
        </is>
      </c>
      <c r="D58" s="2" t="inlineStr">
        <is>
          <t>PubMed / Saudi J Kidney Dis Transpl</t>
        </is>
      </c>
      <c r="E58" s="2" t="inlineStr">
        <is>
          <t>2011-03-01</t>
        </is>
      </c>
      <c r="F58" s="2" t="inlineStr">
        <is>
          <t>https://pubmed.ncbi.nlm.nih.gov/21422648/</t>
        </is>
      </c>
      <c r="G58" s="2" t="inlineStr">
        <is>
          <t>OBSERVED</t>
        </is>
      </c>
      <c r="H58" s="2" t="inlineStr">
        <is>
          <t>Al-Kindy Teaching Hospital and five major Baghdad hospitals with HD</t>
        </is>
      </c>
      <c r="I58" s="2" t="inlineStr">
        <is>
          <t>2026-08-10</t>
        </is>
      </c>
    </row>
    <row r="59">
      <c r="A59" s="2" t="inlineStr">
        <is>
          <t>SRC-WEB-052</t>
        </is>
      </c>
      <c r="B59" s="2" t="inlineStr">
        <is>
          <t>Saudi Arabia</t>
        </is>
      </c>
      <c r="C59" s="2" t="inlineStr">
        <is>
          <t>NPT0003-24 Renal Consumable Tender Final Award Batch 2</t>
        </is>
      </c>
      <c r="D59" s="2" t="inlineStr">
        <is>
          <t>NUPCO</t>
        </is>
      </c>
      <c r="E59" s="2" t="inlineStr">
        <is>
          <t>2024-01-08</t>
        </is>
      </c>
      <c r="F59" s="2" t="inlineStr">
        <is>
          <t>https://www.nupco.com/wp-content/uploads/2024/01/NPT0003-24-_-RENAL-CONSUMABLE-TENDER-_-FINAL_AWARD_BATCH2.pdf</t>
        </is>
      </c>
      <c r="G59" s="2" t="inlineStr">
        <is>
          <t>OBSERVED</t>
        </is>
      </c>
      <c r="H59" s="2" t="inlineStr">
        <is>
          <t>HD catheter SKU 4216150301000, manufacturer Guangdong Baihe, vendor Hospital Care Company</t>
        </is>
      </c>
      <c r="I59" s="2" t="inlineStr">
        <is>
          <t>2026-08-10</t>
        </is>
      </c>
    </row>
    <row r="60">
      <c r="A60" s="2" t="inlineStr">
        <is>
          <t>SRC-WEB-053</t>
        </is>
      </c>
      <c r="B60" s="2" t="inlineStr">
        <is>
          <t>Saudi Arabia</t>
        </is>
      </c>
      <c r="C60" s="2" t="inlineStr">
        <is>
          <t>NUPCO tender list - NPT0046/23 Dialysis Services</t>
        </is>
      </c>
      <c r="D60" s="2" t="inlineStr">
        <is>
          <t>NUPCO</t>
        </is>
      </c>
      <c r="E60" s="2" t="inlineStr">
        <is>
          <t>2025-01-28</t>
        </is>
      </c>
      <c r="F60" s="2" t="inlineStr">
        <is>
          <t>https://stg.nupco.com/%D8%A7%D9%84%D9%85%D9%86%D8%A7%D9%81%D8%B3%D8%A7%D8%AA/</t>
        </is>
      </c>
      <c r="G60" s="2" t="inlineStr">
        <is>
          <t>OBSERVED</t>
        </is>
      </c>
      <c r="H60" s="2" t="inlineStr">
        <is>
          <t>NPT0046/23 dialysis services tender final results listing</t>
        </is>
      </c>
      <c r="I60" s="2" t="inlineStr">
        <is>
          <t>2026-08-10</t>
        </is>
      </c>
    </row>
  </sheetData>
  <autoFilter ref="A1:I60"/>
  <hyperlinks>
    <hyperlink xmlns:r="http://schemas.openxmlformats.org/officeDocument/2006/relationships" ref="F2" display="https://pmc.ncbi.nlm.nih.gov/articles/PMC11253410/" r:id="rId1"/>
    <hyperlink xmlns:r="http://schemas.openxmlformats.org/officeDocument/2006/relationships" ref="F3" display="https://pmc.ncbi.nlm.nih.gov/articles/PMC11490247/" r:id="rId2"/>
    <hyperlink xmlns:r="http://schemas.openxmlformats.org/officeDocument/2006/relationships" ref="F4" display="https://pmc.ncbi.nlm.nih.gov/articles/PMC9943994/" r:id="rId3"/>
    <hyperlink xmlns:r="http://schemas.openxmlformats.org/officeDocument/2006/relationships" ref="F5" display="https://europepmc.org/article/MED/32801244" r:id="rId4"/>
    <hyperlink xmlns:r="http://schemas.openxmlformats.org/officeDocument/2006/relationships" ref="F6" display="https://moh.gov.om/media/lnwjoogy/health-facts-2024.pdf" r:id="rId5"/>
    <hyperlink xmlns:r="http://schemas.openxmlformats.org/officeDocument/2006/relationships" ref="F7" display="https://www.nupco.com/" r:id="rId6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F2"/>
  <sheetViews>
    <sheetView showGridLines="1" workbookViewId="0">
      <pane ySplit="1" topLeftCell="A2" activePane="bottomLeft" state="frozen"/>
      <selection pane="bottomLeft" activeCell="A1" sqref="A1"/>
      <selection pane="bottomLeft" activeCell="A1" sqref="A1"/>
    </sheetView>
  </sheetViews>
  <sheetFormatPr baseColWidth="8" defaultColWidth="9" defaultRowHeight="15"/>
  <cols>
    <col width="14" customWidth="1" min="1" max="1"/>
    <col width="14" customWidth="1" min="2" max="2"/>
    <col width="16" customWidth="1" min="3" max="4"/>
    <col width="18" customWidth="1" min="4" max="4"/>
    <col width="21" customWidth="1" min="5" max="5"/>
    <col width="27" customWidth="1" min="6" max="6"/>
    <col width="22" customWidth="1" min="7" max="7"/>
    <col width="25" customWidth="1" min="8" max="8"/>
    <col width="22" customWidth="1" min="9" max="9"/>
    <col width="10" customWidth="1" min="10" max="10"/>
    <col width="26" customWidth="1" min="11" max="11"/>
    <col width="10" customWidth="1" min="12" max="12"/>
    <col width="29" customWidth="1" min="13" max="13"/>
    <col width="14" customWidth="1" min="14" max="14"/>
    <col width="10" customWidth="1" min="15" max="15"/>
    <col width="17" customWidth="1" min="16" max="16"/>
    <col width="2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8" customWidth="1" min="22" max="22"/>
    <col width="18" customWidth="1" min="23" max="23"/>
    <col width="14" customWidth="1" min="24" max="24"/>
    <col width="22" customWidth="1" min="25" max="25"/>
    <col width="17" customWidth="1" min="26" max="26"/>
    <col width="17" customWidth="1" min="27" max="27"/>
    <col width="16" customWidth="1" min="28" max="28"/>
    <col width="12" customWidth="1" min="29" max="29"/>
    <col width="13" customWidth="1" min="30" max="30"/>
    <col width="45" customWidth="1" min="31" max="31"/>
    <col width="45" customWidth="1" min="32" max="32"/>
  </cols>
  <sheetData>
    <row r="1">
      <c r="A1" s="8" t="inlineStr">
        <is>
          <t>Country</t>
        </is>
      </c>
      <c r="B1" s="8" t="inlineStr">
        <is>
          <t>Country_Code</t>
        </is>
      </c>
      <c r="C1" s="8" t="inlineStr">
        <is>
          <t>Reference_Year</t>
        </is>
      </c>
      <c r="D1" s="8" t="inlineStr">
        <is>
          <t>2026_HD_Patients</t>
        </is>
      </c>
      <c r="E1" s="8" t="inlineStr">
        <is>
          <t>2026_Total_Dialysis</t>
        </is>
      </c>
      <c r="F1" s="8" t="inlineStr">
        <is>
          <t>Base_Catheter_Demand_2026</t>
        </is>
      </c>
      <c r="G1" s="8" t="inlineStr">
        <is>
          <t>Tunneled_Demand_2026</t>
        </is>
      </c>
      <c r="H1" s="8" t="inlineStr">
        <is>
          <t>NonTunneled_Demand_2026</t>
        </is>
      </c>
      <c r="I1" s="8" t="inlineStr">
        <is>
          <t>KRT_Chronic_Dialysis</t>
        </is>
      </c>
      <c r="J1" s="8" t="inlineStr">
        <is>
          <t>KRT_Year</t>
        </is>
      </c>
      <c r="K1" s="8" t="inlineStr">
        <is>
          <t>HD_Population_Historical</t>
        </is>
      </c>
      <c r="L1" s="8" t="inlineStr">
        <is>
          <t>HD_Year</t>
        </is>
      </c>
      <c r="M1" s="8" t="inlineStr">
        <is>
          <t>Dialysis_Centers_Historical</t>
        </is>
      </c>
      <c r="N1" s="8" t="inlineStr">
        <is>
          <t>Centers_Year</t>
        </is>
      </c>
      <c r="O1" s="8" t="inlineStr">
        <is>
          <t>HD_Units</t>
        </is>
      </c>
      <c r="P1" s="8" t="inlineStr">
        <is>
          <t>Major_Hospitals</t>
        </is>
      </c>
      <c r="Q1" s="8" t="inlineStr">
        <is>
          <t>Transplant_Centers</t>
        </is>
      </c>
      <c r="R1" s="8" t="inlineStr">
        <is>
          <t>ASP</t>
        </is>
      </c>
      <c r="S1" s="8" t="inlineStr">
        <is>
          <t>TAM</t>
        </is>
      </c>
      <c r="T1" s="8" t="inlineStr">
        <is>
          <t>SAM</t>
        </is>
      </c>
      <c r="U1" s="8" t="inlineStr">
        <is>
          <t>SOM</t>
        </is>
      </c>
      <c r="V1" s="8" t="inlineStr">
        <is>
          <t>Investment_Score</t>
        </is>
      </c>
      <c r="W1" s="8" t="inlineStr">
        <is>
          <t>Investment_Grade</t>
        </is>
      </c>
      <c r="X1" s="8" t="inlineStr">
        <is>
          <t>KOL_Coverage</t>
        </is>
      </c>
      <c r="Y1" s="8" t="inlineStr">
        <is>
          <t>Distributor_Coverage</t>
        </is>
      </c>
      <c r="Z1" s="8" t="inlineStr">
        <is>
          <t>Tender_Coverage</t>
        </is>
      </c>
      <c r="AA1" s="8" t="inlineStr">
        <is>
          <t>Data_Gap_Status</t>
        </is>
      </c>
      <c r="AB1" s="8" t="inlineStr">
        <is>
          <t>Evidence_Level</t>
        </is>
      </c>
      <c r="AC1" s="8" t="inlineStr">
        <is>
          <t>Confidence</t>
        </is>
      </c>
      <c r="AD1" s="8" t="inlineStr">
        <is>
          <t>Source_ID</t>
        </is>
      </c>
      <c r="AE1" s="8" t="inlineStr">
        <is>
          <t>Source_URL</t>
        </is>
      </c>
      <c r="AF1" s="8" t="inlineStr">
        <is>
          <t>Evidence_Note</t>
        </is>
      </c>
    </row>
    <row r="2" ht="30" customHeight="1">
      <c r="A2" s="2" t="inlineStr">
        <is>
          <t>Saudi Arabia</t>
        </is>
      </c>
      <c r="B2" s="2" t="inlineStr">
        <is>
          <t>SAU</t>
        </is>
      </c>
      <c r="C2" s="2" t="n">
        <v>2021</v>
      </c>
      <c r="D2" s="2" t="inlineStr"/>
      <c r="E2" s="2" t="inlineStr"/>
      <c r="F2" s="2" t="inlineStr"/>
      <c r="G2" s="2" t="inlineStr"/>
      <c r="H2" s="2" t="inlineStr"/>
      <c r="I2" s="2" t="n">
        <v>22301</v>
      </c>
      <c r="J2" s="2" t="n">
        <v>2021</v>
      </c>
      <c r="K2" s="2" t="n">
        <v>20440</v>
      </c>
      <c r="L2" s="2" t="n">
        <v>2021</v>
      </c>
      <c r="M2" s="2" t="n">
        <v>275</v>
      </c>
      <c r="N2" s="2" t="n">
        <v>2021</v>
      </c>
      <c r="O2" s="2" t="inlineStr"/>
      <c r="P2" s="2" t="n">
        <v>13</v>
      </c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>
        <is>
          <t>GAP</t>
        </is>
      </c>
      <c r="Y2" s="2" t="inlineStr">
        <is>
          <t>PARTIAL</t>
        </is>
      </c>
      <c r="Z2" s="2" t="inlineStr">
        <is>
          <t>PARTIAL</t>
        </is>
      </c>
      <c r="AA2" s="2" t="inlineStr">
        <is>
          <t>CRITICAL_GAPS</t>
        </is>
      </c>
      <c r="AB2" s="2" t="inlineStr">
        <is>
          <t>OBSERVED</t>
        </is>
      </c>
      <c r="AC2" s="2" t="inlineStr">
        <is>
          <t>Very High</t>
        </is>
      </c>
      <c r="AD2" s="2" t="inlineStr">
        <is>
          <t>SRC-WEB-001</t>
        </is>
      </c>
      <c r="AE2" s="2" t="inlineStr">
        <is>
          <t>https://pmc.ncbi.nlm.nih.gov/articles/PMC11253410/</t>
        </is>
      </c>
      <c r="AF2" s="2" t="inlineStr">
        <is>
          <t>Study using GaStat/MOH data; KRT derived as HD 20,440 + PD 1,861 from same source, so KRT is DERIVED. 2026 fields are intentionally blank unless directly supported by a 2026 source.</t>
        </is>
      </c>
    </row>
  </sheetData>
  <autoFilter ref="A1:AF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F2"/>
  <sheetViews>
    <sheetView showGridLines="1" workbookViewId="0">
      <pane ySplit="1" topLeftCell="A2" activePane="bottomLeft" state="frozen"/>
      <selection pane="bottomLeft" activeCell="A1" sqref="A1"/>
      <selection pane="bottomLeft" activeCell="A1" sqref="A$1:A$1048576"/>
    </sheetView>
  </sheetViews>
  <sheetFormatPr baseColWidth="8" defaultColWidth="9" defaultRowHeight="15"/>
  <cols>
    <col width="10" customWidth="1" min="1" max="1"/>
    <col width="14" customWidth="1" min="2" max="2"/>
    <col width="16" customWidth="1" min="3" max="4"/>
    <col width="18" customWidth="1" min="4" max="4"/>
    <col width="21" customWidth="1" min="5" max="5"/>
    <col width="27" customWidth="1" min="6" max="6"/>
    <col width="22" customWidth="1" min="7" max="7"/>
    <col width="25" customWidth="1" min="8" max="8"/>
    <col width="22" customWidth="1" min="9" max="9"/>
    <col width="10" customWidth="1" min="10" max="10"/>
    <col width="26" customWidth="1" min="11" max="11"/>
    <col width="10" customWidth="1" min="12" max="12"/>
    <col width="29" customWidth="1" min="13" max="13"/>
    <col width="14" customWidth="1" min="14" max="14"/>
    <col width="10" customWidth="1" min="15" max="15"/>
    <col width="17" customWidth="1" min="16" max="16"/>
    <col width="2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8" customWidth="1" min="22" max="22"/>
    <col width="18" customWidth="1" min="23" max="23"/>
    <col width="14" customWidth="1" min="24" max="24"/>
    <col width="22" customWidth="1" min="25" max="25"/>
    <col width="17" customWidth="1" min="26" max="26"/>
    <col width="17" customWidth="1" min="27" max="27"/>
    <col width="20" customWidth="1" min="28" max="28"/>
    <col width="12" customWidth="1" min="29" max="29"/>
    <col width="13" customWidth="1" min="30" max="30"/>
    <col width="45" customWidth="1" min="31" max="31"/>
    <col width="45" customWidth="1" min="32" max="32"/>
  </cols>
  <sheetData>
    <row r="1">
      <c r="A1" s="8" t="inlineStr">
        <is>
          <t>Country</t>
        </is>
      </c>
      <c r="B1" s="8" t="inlineStr">
        <is>
          <t>Country_Code</t>
        </is>
      </c>
      <c r="C1" s="8" t="inlineStr">
        <is>
          <t>Reference_Year</t>
        </is>
      </c>
      <c r="D1" s="8" t="inlineStr">
        <is>
          <t>2026_HD_Patients</t>
        </is>
      </c>
      <c r="E1" s="8" t="inlineStr">
        <is>
          <t>2026_Total_Dialysis</t>
        </is>
      </c>
      <c r="F1" s="8" t="inlineStr">
        <is>
          <t>Base_Catheter_Demand_2026</t>
        </is>
      </c>
      <c r="G1" s="8" t="inlineStr">
        <is>
          <t>Tunneled_Demand_2026</t>
        </is>
      </c>
      <c r="H1" s="8" t="inlineStr">
        <is>
          <t>NonTunneled_Demand_2026</t>
        </is>
      </c>
      <c r="I1" s="8" t="inlineStr">
        <is>
          <t>KRT_Chronic_Dialysis</t>
        </is>
      </c>
      <c r="J1" s="8" t="inlineStr">
        <is>
          <t>KRT_Year</t>
        </is>
      </c>
      <c r="K1" s="8" t="inlineStr">
        <is>
          <t>HD_Population_Historical</t>
        </is>
      </c>
      <c r="L1" s="8" t="inlineStr">
        <is>
          <t>HD_Year</t>
        </is>
      </c>
      <c r="M1" s="8" t="inlineStr">
        <is>
          <t>Dialysis_Centers_Historical</t>
        </is>
      </c>
      <c r="N1" s="8" t="inlineStr">
        <is>
          <t>Centers_Year</t>
        </is>
      </c>
      <c r="O1" s="8" t="inlineStr">
        <is>
          <t>HD_Units</t>
        </is>
      </c>
      <c r="P1" s="8" t="inlineStr">
        <is>
          <t>Major_Hospitals</t>
        </is>
      </c>
      <c r="Q1" s="8" t="inlineStr">
        <is>
          <t>Transplant_Centers</t>
        </is>
      </c>
      <c r="R1" s="8" t="inlineStr">
        <is>
          <t>ASP</t>
        </is>
      </c>
      <c r="S1" s="8" t="inlineStr">
        <is>
          <t>TAM</t>
        </is>
      </c>
      <c r="T1" s="8" t="inlineStr">
        <is>
          <t>SAM</t>
        </is>
      </c>
      <c r="U1" s="8" t="inlineStr">
        <is>
          <t>SOM</t>
        </is>
      </c>
      <c r="V1" s="8" t="inlineStr">
        <is>
          <t>Investment_Score</t>
        </is>
      </c>
      <c r="W1" s="8" t="inlineStr">
        <is>
          <t>Investment_Grade</t>
        </is>
      </c>
      <c r="X1" s="8" t="inlineStr">
        <is>
          <t>KOL_Coverage</t>
        </is>
      </c>
      <c r="Y1" s="8" t="inlineStr">
        <is>
          <t>Distributor_Coverage</t>
        </is>
      </c>
      <c r="Z1" s="8" t="inlineStr">
        <is>
          <t>Tender_Coverage</t>
        </is>
      </c>
      <c r="AA1" s="8" t="inlineStr">
        <is>
          <t>Data_Gap_Status</t>
        </is>
      </c>
      <c r="AB1" s="8" t="inlineStr">
        <is>
          <t>Evidence_Level</t>
        </is>
      </c>
      <c r="AC1" s="8" t="inlineStr">
        <is>
          <t>Confidence</t>
        </is>
      </c>
      <c r="AD1" s="8" t="inlineStr">
        <is>
          <t>Source_ID</t>
        </is>
      </c>
      <c r="AE1" s="8" t="inlineStr">
        <is>
          <t>Source_URL</t>
        </is>
      </c>
      <c r="AF1" s="8" t="inlineStr">
        <is>
          <t>Evidence_Note</t>
        </is>
      </c>
    </row>
    <row r="2" ht="30" customHeight="1">
      <c r="A2" s="2" t="inlineStr">
        <is>
          <t>UAE</t>
        </is>
      </c>
      <c r="B2" s="2" t="inlineStr">
        <is>
          <t>ARE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n">
        <v>12</v>
      </c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>
        <is>
          <t>GAP</t>
        </is>
      </c>
      <c r="Y2" s="2" t="inlineStr">
        <is>
          <t>GAP</t>
        </is>
      </c>
      <c r="Z2" s="2" t="inlineStr">
        <is>
          <t>GAP</t>
        </is>
      </c>
      <c r="AA2" s="2" t="inlineStr">
        <is>
          <t>CRITICAL_GAPS</t>
        </is>
      </c>
      <c r="AB2" s="2" t="inlineStr">
        <is>
          <t>NEEDS_VERIFICATION</t>
        </is>
      </c>
      <c r="AC2" s="2" t="inlineStr">
        <is>
          <t>Low</t>
        </is>
      </c>
      <c r="AD2" s="2" t="inlineStr">
        <is>
          <t>SRC-WEB-011</t>
        </is>
      </c>
      <c r="AE2" s="2" t="inlineStr">
        <is>
          <t>https://www.doh.gov.ae/-/media/Feature/Muashir/Jawda/2026/Dialysis-Facilities-Jawda-GuidanceV101Effective-from-Q2-2026.ashx</t>
        </is>
      </c>
      <c r="AF2" s="2" t="inlineStr">
        <is>
          <t>Current DoH guidance confirms licensed HD/home-dialysis facilities but does not publish national patient totals in the source. 2026 fields are intentionally blank unless directly supported by a 2026 source.</t>
        </is>
      </c>
    </row>
  </sheetData>
  <autoFilter ref="A1:AF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F2"/>
  <sheetViews>
    <sheetView showGridLines="1" workbookViewId="0">
      <pane ySplit="1" topLeftCell="A2" activePane="bottomLeft" state="frozen"/>
      <selection pane="bottomLeft" activeCell="A1" sqref="A1"/>
      <selection pane="bottomLeft" activeCell="A1" sqref="A$1:A$1048576"/>
    </sheetView>
  </sheetViews>
  <sheetFormatPr baseColWidth="8" defaultColWidth="9" defaultRowHeight="15"/>
  <cols>
    <col width="10" customWidth="1" min="1" max="1"/>
    <col width="14" customWidth="1" min="2" max="2"/>
    <col width="16" customWidth="1" min="3" max="4"/>
    <col width="18" customWidth="1" min="4" max="4"/>
    <col width="21" customWidth="1" min="5" max="5"/>
    <col width="27" customWidth="1" min="6" max="6"/>
    <col width="22" customWidth="1" min="7" max="7"/>
    <col width="25" customWidth="1" min="8" max="8"/>
    <col width="22" customWidth="1" min="9" max="9"/>
    <col width="10" customWidth="1" min="10" max="10"/>
    <col width="26" customWidth="1" min="11" max="11"/>
    <col width="10" customWidth="1" min="12" max="12"/>
    <col width="29" customWidth="1" min="13" max="13"/>
    <col width="14" customWidth="1" min="14" max="14"/>
    <col width="10" customWidth="1" min="15" max="15"/>
    <col width="17" customWidth="1" min="16" max="16"/>
    <col width="2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8" customWidth="1" min="22" max="22"/>
    <col width="18" customWidth="1" min="23" max="23"/>
    <col width="14" customWidth="1" min="24" max="24"/>
    <col width="22" customWidth="1" min="25" max="25"/>
    <col width="17" customWidth="1" min="26" max="26"/>
    <col width="17" customWidth="1" min="27" max="27"/>
    <col width="16" customWidth="1" min="28" max="28"/>
    <col width="12" customWidth="1" min="29" max="29"/>
    <col width="13" customWidth="1" min="30" max="30"/>
    <col width="45" customWidth="1" min="31" max="31"/>
    <col width="45" customWidth="1" min="32" max="32"/>
  </cols>
  <sheetData>
    <row r="1">
      <c r="A1" s="8" t="inlineStr">
        <is>
          <t>Country</t>
        </is>
      </c>
      <c r="B1" s="8" t="inlineStr">
        <is>
          <t>Country_Code</t>
        </is>
      </c>
      <c r="C1" s="8" t="inlineStr">
        <is>
          <t>Reference_Year</t>
        </is>
      </c>
      <c r="D1" s="8" t="inlineStr">
        <is>
          <t>2026_HD_Patients</t>
        </is>
      </c>
      <c r="E1" s="8" t="inlineStr">
        <is>
          <t>2026_Total_Dialysis</t>
        </is>
      </c>
      <c r="F1" s="8" t="inlineStr">
        <is>
          <t>Base_Catheter_Demand_2026</t>
        </is>
      </c>
      <c r="G1" s="8" t="inlineStr">
        <is>
          <t>Tunneled_Demand_2026</t>
        </is>
      </c>
      <c r="H1" s="8" t="inlineStr">
        <is>
          <t>NonTunneled_Demand_2026</t>
        </is>
      </c>
      <c r="I1" s="8" t="inlineStr">
        <is>
          <t>KRT_Chronic_Dialysis</t>
        </is>
      </c>
      <c r="J1" s="8" t="inlineStr">
        <is>
          <t>KRT_Year</t>
        </is>
      </c>
      <c r="K1" s="8" t="inlineStr">
        <is>
          <t>HD_Population_Historical</t>
        </is>
      </c>
      <c r="L1" s="8" t="inlineStr">
        <is>
          <t>HD_Year</t>
        </is>
      </c>
      <c r="M1" s="8" t="inlineStr">
        <is>
          <t>Dialysis_Centers_Historical</t>
        </is>
      </c>
      <c r="N1" s="8" t="inlineStr">
        <is>
          <t>Centers_Year</t>
        </is>
      </c>
      <c r="O1" s="8" t="inlineStr">
        <is>
          <t>HD_Units</t>
        </is>
      </c>
      <c r="P1" s="8" t="inlineStr">
        <is>
          <t>Major_Hospitals</t>
        </is>
      </c>
      <c r="Q1" s="8" t="inlineStr">
        <is>
          <t>Transplant_Centers</t>
        </is>
      </c>
      <c r="R1" s="8" t="inlineStr">
        <is>
          <t>ASP</t>
        </is>
      </c>
      <c r="S1" s="8" t="inlineStr">
        <is>
          <t>TAM</t>
        </is>
      </c>
      <c r="T1" s="8" t="inlineStr">
        <is>
          <t>SAM</t>
        </is>
      </c>
      <c r="U1" s="8" t="inlineStr">
        <is>
          <t>SOM</t>
        </is>
      </c>
      <c r="V1" s="8" t="inlineStr">
        <is>
          <t>Investment_Score</t>
        </is>
      </c>
      <c r="W1" s="8" t="inlineStr">
        <is>
          <t>Investment_Grade</t>
        </is>
      </c>
      <c r="X1" s="8" t="inlineStr">
        <is>
          <t>KOL_Coverage</t>
        </is>
      </c>
      <c r="Y1" s="8" t="inlineStr">
        <is>
          <t>Distributor_Coverage</t>
        </is>
      </c>
      <c r="Z1" s="8" t="inlineStr">
        <is>
          <t>Tender_Coverage</t>
        </is>
      </c>
      <c r="AA1" s="8" t="inlineStr">
        <is>
          <t>Data_Gap_Status</t>
        </is>
      </c>
      <c r="AB1" s="8" t="inlineStr">
        <is>
          <t>Evidence_Level</t>
        </is>
      </c>
      <c r="AC1" s="8" t="inlineStr">
        <is>
          <t>Confidence</t>
        </is>
      </c>
      <c r="AD1" s="8" t="inlineStr">
        <is>
          <t>Source_ID</t>
        </is>
      </c>
      <c r="AE1" s="8" t="inlineStr">
        <is>
          <t>Source_URL</t>
        </is>
      </c>
      <c r="AF1" s="8" t="inlineStr">
        <is>
          <t>Evidence_Note</t>
        </is>
      </c>
    </row>
    <row r="2" ht="30" customHeight="1">
      <c r="A2" s="2" t="inlineStr">
        <is>
          <t>Qatar</t>
        </is>
      </c>
      <c r="B2" s="2" t="inlineStr">
        <is>
          <t>QAT</t>
        </is>
      </c>
      <c r="C2" s="2" t="n">
        <v>2021</v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n">
        <v>6</v>
      </c>
      <c r="N2" s="2" t="n">
        <v>2021</v>
      </c>
      <c r="O2" s="2" t="inlineStr"/>
      <c r="P2" s="2" t="n">
        <v>8</v>
      </c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>
        <is>
          <t>GAP</t>
        </is>
      </c>
      <c r="Y2" s="2" t="inlineStr">
        <is>
          <t>GAP</t>
        </is>
      </c>
      <c r="Z2" s="2" t="inlineStr">
        <is>
          <t>GAP</t>
        </is>
      </c>
      <c r="AA2" s="2" t="inlineStr">
        <is>
          <t>CRITICAL_GAPS</t>
        </is>
      </c>
      <c r="AB2" s="2" t="inlineStr">
        <is>
          <t>OBSERVED</t>
        </is>
      </c>
      <c r="AC2" s="2" t="inlineStr">
        <is>
          <t>Very High</t>
        </is>
      </c>
      <c r="AD2" s="2" t="inlineStr">
        <is>
          <t>SRC-WEB-024</t>
        </is>
      </c>
      <c r="AE2" s="2" t="inlineStr">
        <is>
          <t>https://pmc.ncbi.nlm.nih.gov/articles/PMC11102569/</t>
        </is>
      </c>
      <c r="AF2" s="2" t="inlineStr">
        <is>
          <t>Six outpatient ambulatory dialysis facilities in 2021; facility-level stations are separately captured. 2026 fields are intentionally blank unless directly supported by a 2026 source.</t>
        </is>
      </c>
    </row>
  </sheetData>
  <autoFilter ref="A1:AF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F2"/>
  <sheetViews>
    <sheetView showGridLines="1" workbookViewId="0">
      <pane ySplit="1" topLeftCell="A2" activePane="bottomLeft" state="frozen"/>
      <selection pane="bottomLeft" activeCell="A1" sqref="A1"/>
      <selection pane="bottomLeft" activeCell="A1" sqref="A1"/>
    </sheetView>
  </sheetViews>
  <sheetFormatPr baseColWidth="8" defaultColWidth="9" defaultRowHeight="15"/>
  <cols>
    <col width="10" customWidth="1" min="1" max="1"/>
    <col width="14" customWidth="1" min="2" max="2"/>
    <col width="16" customWidth="1" min="3" max="4"/>
    <col width="18" customWidth="1" min="4" max="4"/>
    <col width="21" customWidth="1" min="5" max="5"/>
    <col width="27" customWidth="1" min="6" max="6"/>
    <col width="22" customWidth="1" min="7" max="7"/>
    <col width="25" customWidth="1" min="8" max="8"/>
    <col width="22" customWidth="1" min="9" max="9"/>
    <col width="10" customWidth="1" min="10" max="10"/>
    <col width="26" customWidth="1" min="11" max="11"/>
    <col width="10" customWidth="1" min="12" max="12"/>
    <col width="29" customWidth="1" min="13" max="13"/>
    <col width="14" customWidth="1" min="14" max="14"/>
    <col width="10" customWidth="1" min="15" max="15"/>
    <col width="17" customWidth="1" min="16" max="16"/>
    <col width="2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8" customWidth="1" min="22" max="22"/>
    <col width="18" customWidth="1" min="23" max="23"/>
    <col width="14" customWidth="1" min="24" max="24"/>
    <col width="22" customWidth="1" min="25" max="25"/>
    <col width="17" customWidth="1" min="26" max="26"/>
    <col width="17" customWidth="1" min="27" max="27"/>
    <col width="16" customWidth="1" min="28" max="28"/>
    <col width="12" customWidth="1" min="29" max="29"/>
    <col width="13" customWidth="1" min="30" max="30"/>
    <col width="45" customWidth="1" min="31" max="31"/>
    <col width="45" customWidth="1" min="32" max="32"/>
  </cols>
  <sheetData>
    <row r="1">
      <c r="A1" s="8" t="inlineStr">
        <is>
          <t>Country</t>
        </is>
      </c>
      <c r="B1" s="8" t="inlineStr">
        <is>
          <t>Country_Code</t>
        </is>
      </c>
      <c r="C1" s="8" t="inlineStr">
        <is>
          <t>Reference_Year</t>
        </is>
      </c>
      <c r="D1" s="8" t="inlineStr">
        <is>
          <t>2026_HD_Patients</t>
        </is>
      </c>
      <c r="E1" s="8" t="inlineStr">
        <is>
          <t>2026_Total_Dialysis</t>
        </is>
      </c>
      <c r="F1" s="8" t="inlineStr">
        <is>
          <t>Base_Catheter_Demand_2026</t>
        </is>
      </c>
      <c r="G1" s="8" t="inlineStr">
        <is>
          <t>Tunneled_Demand_2026</t>
        </is>
      </c>
      <c r="H1" s="8" t="inlineStr">
        <is>
          <t>NonTunneled_Demand_2026</t>
        </is>
      </c>
      <c r="I1" s="8" t="inlineStr">
        <is>
          <t>KRT_Chronic_Dialysis</t>
        </is>
      </c>
      <c r="J1" s="8" t="inlineStr">
        <is>
          <t>KRT_Year</t>
        </is>
      </c>
      <c r="K1" s="8" t="inlineStr">
        <is>
          <t>HD_Population_Historical</t>
        </is>
      </c>
      <c r="L1" s="8" t="inlineStr">
        <is>
          <t>HD_Year</t>
        </is>
      </c>
      <c r="M1" s="8" t="inlineStr">
        <is>
          <t>Dialysis_Centers_Historical</t>
        </is>
      </c>
      <c r="N1" s="8" t="inlineStr">
        <is>
          <t>Centers_Year</t>
        </is>
      </c>
      <c r="O1" s="8" t="inlineStr">
        <is>
          <t>HD_Units</t>
        </is>
      </c>
      <c r="P1" s="8" t="inlineStr">
        <is>
          <t>Major_Hospitals</t>
        </is>
      </c>
      <c r="Q1" s="8" t="inlineStr">
        <is>
          <t>Transplant_Centers</t>
        </is>
      </c>
      <c r="R1" s="8" t="inlineStr">
        <is>
          <t>ASP</t>
        </is>
      </c>
      <c r="S1" s="8" t="inlineStr">
        <is>
          <t>TAM</t>
        </is>
      </c>
      <c r="T1" s="8" t="inlineStr">
        <is>
          <t>SAM</t>
        </is>
      </c>
      <c r="U1" s="8" t="inlineStr">
        <is>
          <t>SOM</t>
        </is>
      </c>
      <c r="V1" s="8" t="inlineStr">
        <is>
          <t>Investment_Score</t>
        </is>
      </c>
      <c r="W1" s="8" t="inlineStr">
        <is>
          <t>Investment_Grade</t>
        </is>
      </c>
      <c r="X1" s="8" t="inlineStr">
        <is>
          <t>KOL_Coverage</t>
        </is>
      </c>
      <c r="Y1" s="8" t="inlineStr">
        <is>
          <t>Distributor_Coverage</t>
        </is>
      </c>
      <c r="Z1" s="8" t="inlineStr">
        <is>
          <t>Tender_Coverage</t>
        </is>
      </c>
      <c r="AA1" s="8" t="inlineStr">
        <is>
          <t>Data_Gap_Status</t>
        </is>
      </c>
      <c r="AB1" s="8" t="inlineStr">
        <is>
          <t>Evidence_Level</t>
        </is>
      </c>
      <c r="AC1" s="8" t="inlineStr">
        <is>
          <t>Confidence</t>
        </is>
      </c>
      <c r="AD1" s="8" t="inlineStr">
        <is>
          <t>Source_ID</t>
        </is>
      </c>
      <c r="AE1" s="8" t="inlineStr">
        <is>
          <t>Source_URL</t>
        </is>
      </c>
      <c r="AF1" s="8" t="inlineStr">
        <is>
          <t>Evidence_Note</t>
        </is>
      </c>
    </row>
    <row r="2" ht="30" customHeight="1">
      <c r="A2" s="2" t="inlineStr">
        <is>
          <t>Kuwait</t>
        </is>
      </c>
      <c r="B2" s="2" t="inlineStr">
        <is>
          <t>KWT</t>
        </is>
      </c>
      <c r="C2" s="2" t="n">
        <v>2020</v>
      </c>
      <c r="D2" s="2" t="inlineStr"/>
      <c r="E2" s="2" t="inlineStr"/>
      <c r="F2" s="2" t="inlineStr"/>
      <c r="G2" s="2" t="inlineStr"/>
      <c r="H2" s="2" t="inlineStr"/>
      <c r="I2" s="2" t="n">
        <v>2275</v>
      </c>
      <c r="J2" s="2" t="n">
        <v>2020</v>
      </c>
      <c r="K2" s="2" t="inlineStr"/>
      <c r="L2" s="2" t="n">
        <v>2020</v>
      </c>
      <c r="M2" s="2" t="n">
        <v>11</v>
      </c>
      <c r="N2" s="2" t="n">
        <v>2020</v>
      </c>
      <c r="O2" s="2" t="inlineStr"/>
      <c r="P2" s="2" t="n">
        <v>9</v>
      </c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>
        <is>
          <t>GAP</t>
        </is>
      </c>
      <c r="Y2" s="2" t="inlineStr">
        <is>
          <t>GAP</t>
        </is>
      </c>
      <c r="Z2" s="2" t="inlineStr">
        <is>
          <t>GAP</t>
        </is>
      </c>
      <c r="AA2" s="2" t="inlineStr">
        <is>
          <t>CRITICAL_GAPS</t>
        </is>
      </c>
      <c r="AB2" s="2" t="inlineStr">
        <is>
          <t>OBSERVED</t>
        </is>
      </c>
      <c r="AC2" s="2" t="inlineStr">
        <is>
          <t>Very High</t>
        </is>
      </c>
      <c r="AD2" s="2" t="inlineStr">
        <is>
          <t>SRC-WEB-027</t>
        </is>
      </c>
      <c r="AE2" s="2" t="inlineStr">
        <is>
          <t>https://pmc.ncbi.nlm.nih.gov/articles/PMC8791361/</t>
        </is>
      </c>
      <c r="AF2" s="2" t="inlineStr">
        <is>
          <t>2020 total dialysis population 2,275; 8 hospital-based and 3 satellite/standalone HD centers. Exact national HD patient count not directly stated. 2026 fields are intentionally blank unless directly supported by a 2026 source.</t>
        </is>
      </c>
    </row>
  </sheetData>
  <autoFilter ref="A1:AF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F2"/>
  <sheetViews>
    <sheetView showGridLines="1" tabSelected="1" workbookViewId="0">
      <pane ySplit="1" topLeftCell="A2" activePane="bottomLeft" state="frozen"/>
      <selection pane="bottomLeft" activeCell="A1" sqref="A1"/>
      <selection pane="bottomLeft" activeCell="B8" sqref="B7:B8"/>
    </sheetView>
  </sheetViews>
  <sheetFormatPr baseColWidth="8" defaultColWidth="9" defaultRowHeight="15"/>
  <cols>
    <col width="10" customWidth="1" min="1" max="1"/>
    <col width="14" customWidth="1" min="2" max="2"/>
    <col width="16" customWidth="1" min="3" max="4"/>
    <col width="18" customWidth="1" min="4" max="4"/>
    <col width="21" customWidth="1" min="5" max="5"/>
    <col width="27" customWidth="1" min="6" max="6"/>
    <col width="22" customWidth="1" min="7" max="7"/>
    <col width="25" customWidth="1" min="8" max="8"/>
    <col width="22" customWidth="1" min="9" max="9"/>
    <col width="10" customWidth="1" min="10" max="10"/>
    <col width="26" customWidth="1" min="11" max="11"/>
    <col width="10" customWidth="1" min="12" max="12"/>
    <col width="29" customWidth="1" min="13" max="13"/>
    <col width="14" customWidth="1" min="14" max="14"/>
    <col width="10" customWidth="1" min="15" max="15"/>
    <col width="17" customWidth="1" min="16" max="16"/>
    <col width="2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8" customWidth="1" min="22" max="22"/>
    <col width="18" customWidth="1" min="23" max="23"/>
    <col width="14" customWidth="1" min="24" max="24"/>
    <col width="22" customWidth="1" min="25" max="25"/>
    <col width="17" customWidth="1" min="26" max="26"/>
    <col width="17" customWidth="1" min="27" max="27"/>
    <col width="20" customWidth="1" min="28" max="28"/>
    <col width="12" customWidth="1" min="29" max="29"/>
    <col width="13" customWidth="1" min="30" max="30"/>
    <col width="45" customWidth="1" min="31" max="31"/>
    <col width="45" customWidth="1" min="32" max="32"/>
  </cols>
  <sheetData>
    <row r="1">
      <c r="A1" s="8" t="inlineStr">
        <is>
          <t>Country</t>
        </is>
      </c>
      <c r="B1" s="8" t="inlineStr">
        <is>
          <t>Country_Code</t>
        </is>
      </c>
      <c r="C1" s="8" t="inlineStr">
        <is>
          <t>Reference_Year</t>
        </is>
      </c>
      <c r="D1" s="8" t="inlineStr">
        <is>
          <t>2026_HD_Patients</t>
        </is>
      </c>
      <c r="E1" s="8" t="inlineStr">
        <is>
          <t>2026_Total_Dialysis</t>
        </is>
      </c>
      <c r="F1" s="8" t="inlineStr">
        <is>
          <t>Base_Catheter_Demand_2026</t>
        </is>
      </c>
      <c r="G1" s="8" t="inlineStr">
        <is>
          <t>Tunneled_Demand_2026</t>
        </is>
      </c>
      <c r="H1" s="8" t="inlineStr">
        <is>
          <t>NonTunneled_Demand_2026</t>
        </is>
      </c>
      <c r="I1" s="8" t="inlineStr">
        <is>
          <t>KRT_Chronic_Dialysis</t>
        </is>
      </c>
      <c r="J1" s="8" t="inlineStr">
        <is>
          <t>KRT_Year</t>
        </is>
      </c>
      <c r="K1" s="8" t="inlineStr">
        <is>
          <t>HD_Population_Historical</t>
        </is>
      </c>
      <c r="L1" s="8" t="inlineStr">
        <is>
          <t>HD_Year</t>
        </is>
      </c>
      <c r="M1" s="8" t="inlineStr">
        <is>
          <t>Dialysis_Centers_Historical</t>
        </is>
      </c>
      <c r="N1" s="8" t="inlineStr">
        <is>
          <t>Centers_Year</t>
        </is>
      </c>
      <c r="O1" s="8" t="inlineStr">
        <is>
          <t>HD_Units</t>
        </is>
      </c>
      <c r="P1" s="8" t="inlineStr">
        <is>
          <t>Major_Hospitals</t>
        </is>
      </c>
      <c r="Q1" s="8" t="inlineStr">
        <is>
          <t>Transplant_Centers</t>
        </is>
      </c>
      <c r="R1" s="8" t="inlineStr">
        <is>
          <t>ASP</t>
        </is>
      </c>
      <c r="S1" s="8" t="inlineStr">
        <is>
          <t>TAM</t>
        </is>
      </c>
      <c r="T1" s="8" t="inlineStr">
        <is>
          <t>SAM</t>
        </is>
      </c>
      <c r="U1" s="8" t="inlineStr">
        <is>
          <t>SOM</t>
        </is>
      </c>
      <c r="V1" s="8" t="inlineStr">
        <is>
          <t>Investment_Score</t>
        </is>
      </c>
      <c r="W1" s="8" t="inlineStr">
        <is>
          <t>Investment_Grade</t>
        </is>
      </c>
      <c r="X1" s="8" t="inlineStr">
        <is>
          <t>KOL_Coverage</t>
        </is>
      </c>
      <c r="Y1" s="8" t="inlineStr">
        <is>
          <t>Distributor_Coverage</t>
        </is>
      </c>
      <c r="Z1" s="8" t="inlineStr">
        <is>
          <t>Tender_Coverage</t>
        </is>
      </c>
      <c r="AA1" s="8" t="inlineStr">
        <is>
          <t>Data_Gap_Status</t>
        </is>
      </c>
      <c r="AB1" s="8" t="inlineStr">
        <is>
          <t>Evidence_Level</t>
        </is>
      </c>
      <c r="AC1" s="8" t="inlineStr">
        <is>
          <t>Confidence</t>
        </is>
      </c>
      <c r="AD1" s="8" t="inlineStr">
        <is>
          <t>Source_ID</t>
        </is>
      </c>
      <c r="AE1" s="8" t="inlineStr">
        <is>
          <t>Source_URL</t>
        </is>
      </c>
      <c r="AF1" s="8" t="inlineStr">
        <is>
          <t>Evidence_Note</t>
        </is>
      </c>
    </row>
    <row r="2" ht="30" customHeight="1">
      <c r="A2" s="2" t="inlineStr">
        <is>
          <t>Oman</t>
        </is>
      </c>
      <c r="B2" s="2" t="inlineStr">
        <is>
          <t>OMN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n">
        <v>20</v>
      </c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>
        <is>
          <t>GAP</t>
        </is>
      </c>
      <c r="Y2" s="2" t="inlineStr">
        <is>
          <t>GAP</t>
        </is>
      </c>
      <c r="Z2" s="2" t="inlineStr">
        <is>
          <t>GAP</t>
        </is>
      </c>
      <c r="AA2" s="2" t="inlineStr">
        <is>
          <t>CRITICAL_GAPS</t>
        </is>
      </c>
      <c r="AB2" s="2" t="inlineStr">
        <is>
          <t>NEEDS_VERIFICATION</t>
        </is>
      </c>
      <c r="AC2" s="2" t="inlineStr">
        <is>
          <t>Low</t>
        </is>
      </c>
      <c r="AD2" s="2" t="inlineStr">
        <is>
          <t>SRC-WEB-031</t>
        </is>
      </c>
      <c r="AE2" s="2" t="inlineStr">
        <is>
          <t>https://pmc.ncbi.nlm.nih.gov/articles/PMC10686920/</t>
        </is>
      </c>
      <c r="AF2" s="2" t="inlineStr">
        <is>
          <t>National HD study provides named facilities and sample distribution, not a current national HD census. 2026 fields are intentionally blank unless directly supported by a 2026 source.</t>
        </is>
      </c>
    </row>
  </sheetData>
  <autoFilter ref="A1:AF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F2"/>
  <sheetViews>
    <sheetView showGridLines="1" workbookViewId="0">
      <pane ySplit="1" topLeftCell="A2" activePane="bottomLeft" state="frozen"/>
      <selection pane="bottomLeft" activeCell="A1" sqref="A1"/>
      <selection pane="bottomLeft" activeCell="A1" sqref="A1"/>
    </sheetView>
  </sheetViews>
  <sheetFormatPr baseColWidth="8" defaultColWidth="9" defaultRowHeight="15"/>
  <cols>
    <col width="10" customWidth="1" min="1" max="1"/>
    <col width="14" customWidth="1" min="2" max="2"/>
    <col width="16" customWidth="1" min="3" max="4"/>
    <col width="18" customWidth="1" min="4" max="4"/>
    <col width="21" customWidth="1" min="5" max="5"/>
    <col width="27" customWidth="1" min="6" max="6"/>
    <col width="22" customWidth="1" min="7" max="7"/>
    <col width="25" customWidth="1" min="8" max="8"/>
    <col width="22" customWidth="1" min="9" max="9"/>
    <col width="10" customWidth="1" min="10" max="10"/>
    <col width="26" customWidth="1" min="11" max="11"/>
    <col width="10" customWidth="1" min="12" max="12"/>
    <col width="29" customWidth="1" min="13" max="13"/>
    <col width="14" customWidth="1" min="14" max="14"/>
    <col width="10" customWidth="1" min="15" max="15"/>
    <col width="17" customWidth="1" min="16" max="16"/>
    <col width="2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8" customWidth="1" min="22" max="22"/>
    <col width="18" customWidth="1" min="23" max="23"/>
    <col width="14" customWidth="1" min="24" max="24"/>
    <col width="22" customWidth="1" min="25" max="25"/>
    <col width="17" customWidth="1" min="26" max="26"/>
    <col width="17" customWidth="1" min="27" max="27"/>
    <col width="20" customWidth="1" min="28" max="28"/>
    <col width="12" customWidth="1" min="29" max="29"/>
    <col width="13" customWidth="1" min="30" max="30"/>
    <col width="45" customWidth="1" min="31" max="31"/>
    <col width="45" customWidth="1" min="32" max="32"/>
  </cols>
  <sheetData>
    <row r="1">
      <c r="A1" s="8" t="inlineStr">
        <is>
          <t>Country</t>
        </is>
      </c>
      <c r="B1" s="8" t="inlineStr">
        <is>
          <t>Country_Code</t>
        </is>
      </c>
      <c r="C1" s="8" t="inlineStr">
        <is>
          <t>Reference_Year</t>
        </is>
      </c>
      <c r="D1" s="8" t="inlineStr">
        <is>
          <t>2026_HD_Patients</t>
        </is>
      </c>
      <c r="E1" s="8" t="inlineStr">
        <is>
          <t>2026_Total_Dialysis</t>
        </is>
      </c>
      <c r="F1" s="8" t="inlineStr">
        <is>
          <t>Base_Catheter_Demand_2026</t>
        </is>
      </c>
      <c r="G1" s="8" t="inlineStr">
        <is>
          <t>Tunneled_Demand_2026</t>
        </is>
      </c>
      <c r="H1" s="8" t="inlineStr">
        <is>
          <t>NonTunneled_Demand_2026</t>
        </is>
      </c>
      <c r="I1" s="8" t="inlineStr">
        <is>
          <t>KRT_Chronic_Dialysis</t>
        </is>
      </c>
      <c r="J1" s="8" t="inlineStr">
        <is>
          <t>KRT_Year</t>
        </is>
      </c>
      <c r="K1" s="8" t="inlineStr">
        <is>
          <t>HD_Population_Historical</t>
        </is>
      </c>
      <c r="L1" s="8" t="inlineStr">
        <is>
          <t>HD_Year</t>
        </is>
      </c>
      <c r="M1" s="8" t="inlineStr">
        <is>
          <t>Dialysis_Centers_Historical</t>
        </is>
      </c>
      <c r="N1" s="8" t="inlineStr">
        <is>
          <t>Centers_Year</t>
        </is>
      </c>
      <c r="O1" s="8" t="inlineStr">
        <is>
          <t>HD_Units</t>
        </is>
      </c>
      <c r="P1" s="8" t="inlineStr">
        <is>
          <t>Major_Hospitals</t>
        </is>
      </c>
      <c r="Q1" s="8" t="inlineStr">
        <is>
          <t>Transplant_Centers</t>
        </is>
      </c>
      <c r="R1" s="8" t="inlineStr">
        <is>
          <t>ASP</t>
        </is>
      </c>
      <c r="S1" s="8" t="inlineStr">
        <is>
          <t>TAM</t>
        </is>
      </c>
      <c r="T1" s="8" t="inlineStr">
        <is>
          <t>SAM</t>
        </is>
      </c>
      <c r="U1" s="8" t="inlineStr">
        <is>
          <t>SOM</t>
        </is>
      </c>
      <c r="V1" s="8" t="inlineStr">
        <is>
          <t>Investment_Score</t>
        </is>
      </c>
      <c r="W1" s="8" t="inlineStr">
        <is>
          <t>Investment_Grade</t>
        </is>
      </c>
      <c r="X1" s="8" t="inlineStr">
        <is>
          <t>KOL_Coverage</t>
        </is>
      </c>
      <c r="Y1" s="8" t="inlineStr">
        <is>
          <t>Distributor_Coverage</t>
        </is>
      </c>
      <c r="Z1" s="8" t="inlineStr">
        <is>
          <t>Tender_Coverage</t>
        </is>
      </c>
      <c r="AA1" s="8" t="inlineStr">
        <is>
          <t>Data_Gap_Status</t>
        </is>
      </c>
      <c r="AB1" s="8" t="inlineStr">
        <is>
          <t>Evidence_Level</t>
        </is>
      </c>
      <c r="AC1" s="8" t="inlineStr">
        <is>
          <t>Confidence</t>
        </is>
      </c>
      <c r="AD1" s="8" t="inlineStr">
        <is>
          <t>Source_ID</t>
        </is>
      </c>
      <c r="AE1" s="8" t="inlineStr">
        <is>
          <t>Source_URL</t>
        </is>
      </c>
      <c r="AF1" s="8" t="inlineStr">
        <is>
          <t>Evidence_Note</t>
        </is>
      </c>
    </row>
    <row r="2" ht="30" customHeight="1">
      <c r="A2" s="2" t="inlineStr">
        <is>
          <t>Bahrain</t>
        </is>
      </c>
      <c r="B2" s="2" t="inlineStr">
        <is>
          <t>BHR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n">
        <v>2</v>
      </c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>
        <is>
          <t>GAP</t>
        </is>
      </c>
      <c r="Y2" s="2" t="inlineStr">
        <is>
          <t>GAP</t>
        </is>
      </c>
      <c r="Z2" s="2" t="inlineStr">
        <is>
          <t>GAP</t>
        </is>
      </c>
      <c r="AA2" s="2" t="inlineStr">
        <is>
          <t>CRITICAL_GAPS</t>
        </is>
      </c>
      <c r="AB2" s="2" t="inlineStr">
        <is>
          <t>NEEDS_VERIFICATION</t>
        </is>
      </c>
      <c r="AC2" s="2" t="inlineStr">
        <is>
          <t>Low</t>
        </is>
      </c>
      <c r="AD2" s="2" t="inlineStr">
        <is>
          <t>SRC-WEB-037</t>
        </is>
      </c>
      <c r="AE2" s="2" t="inlineStr">
        <is>
          <t>https://www.moh.gov.bh/Content/Upload/File/638728900890233427-Annual-Health-Statistic-2021-2022--Report_en.pdf</t>
        </is>
      </c>
      <c r="AF2" s="2" t="inlineStr">
        <is>
          <t>MOH annual report confirms Abdulrahman Kanoo dialysis services but does not provide national current HD census in the retrieved excerpt. 2026 fields are intentionally blank unless directly supported by a 2026 source.</t>
        </is>
      </c>
    </row>
  </sheetData>
  <autoFilter ref="A1:AF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F2"/>
  <sheetViews>
    <sheetView showGridLines="1" workbookViewId="0">
      <pane ySplit="1" topLeftCell="A2" activePane="bottomLeft" state="frozen"/>
      <selection pane="bottomLeft" activeCell="A1" sqref="A1"/>
      <selection pane="bottomLeft" activeCell="A1" sqref="A1"/>
    </sheetView>
  </sheetViews>
  <sheetFormatPr baseColWidth="8" defaultColWidth="9" defaultRowHeight="15"/>
  <cols>
    <col width="10" customWidth="1" min="1" max="1"/>
    <col width="14" customWidth="1" min="2" max="2"/>
    <col width="16" customWidth="1" min="3" max="4"/>
    <col width="18" customWidth="1" min="4" max="4"/>
    <col width="21" customWidth="1" min="5" max="5"/>
    <col width="27" customWidth="1" min="6" max="6"/>
    <col width="22" customWidth="1" min="7" max="7"/>
    <col width="25" customWidth="1" min="8" max="8"/>
    <col width="22" customWidth="1" min="9" max="9"/>
    <col width="10" customWidth="1" min="10" max="10"/>
    <col width="26" customWidth="1" min="11" max="11"/>
    <col width="10" customWidth="1" min="12" max="12"/>
    <col width="29" customWidth="1" min="13" max="13"/>
    <col width="14" customWidth="1" min="14" max="14"/>
    <col width="10" customWidth="1" min="15" max="15"/>
    <col width="17" customWidth="1" min="16" max="16"/>
    <col width="2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8" customWidth="1" min="22" max="22"/>
    <col width="18" customWidth="1" min="23" max="23"/>
    <col width="14" customWidth="1" min="24" max="24"/>
    <col width="22" customWidth="1" min="25" max="25"/>
    <col width="17" customWidth="1" min="26" max="26"/>
    <col width="17" customWidth="1" min="27" max="27"/>
    <col width="20" customWidth="1" min="28" max="28"/>
    <col width="12" customWidth="1" min="29" max="29"/>
    <col width="13" customWidth="1" min="30" max="30"/>
    <col width="45" customWidth="1" min="31" max="31"/>
    <col width="45" customWidth="1" min="32" max="32"/>
  </cols>
  <sheetData>
    <row r="1">
      <c r="A1" s="8" t="inlineStr">
        <is>
          <t>Country</t>
        </is>
      </c>
      <c r="B1" s="8" t="inlineStr">
        <is>
          <t>Country_Code</t>
        </is>
      </c>
      <c r="C1" s="8" t="inlineStr">
        <is>
          <t>Reference_Year</t>
        </is>
      </c>
      <c r="D1" s="8" t="inlineStr">
        <is>
          <t>2026_HD_Patients</t>
        </is>
      </c>
      <c r="E1" s="8" t="inlineStr">
        <is>
          <t>2026_Total_Dialysis</t>
        </is>
      </c>
      <c r="F1" s="8" t="inlineStr">
        <is>
          <t>Base_Catheter_Demand_2026</t>
        </is>
      </c>
      <c r="G1" s="8" t="inlineStr">
        <is>
          <t>Tunneled_Demand_2026</t>
        </is>
      </c>
      <c r="H1" s="8" t="inlineStr">
        <is>
          <t>NonTunneled_Demand_2026</t>
        </is>
      </c>
      <c r="I1" s="8" t="inlineStr">
        <is>
          <t>KRT_Chronic_Dialysis</t>
        </is>
      </c>
      <c r="J1" s="8" t="inlineStr">
        <is>
          <t>KRT_Year</t>
        </is>
      </c>
      <c r="K1" s="8" t="inlineStr">
        <is>
          <t>HD_Population_Historical</t>
        </is>
      </c>
      <c r="L1" s="8" t="inlineStr">
        <is>
          <t>HD_Year</t>
        </is>
      </c>
      <c r="M1" s="8" t="inlineStr">
        <is>
          <t>Dialysis_Centers_Historical</t>
        </is>
      </c>
      <c r="N1" s="8" t="inlineStr">
        <is>
          <t>Centers_Year</t>
        </is>
      </c>
      <c r="O1" s="8" t="inlineStr">
        <is>
          <t>HD_Units</t>
        </is>
      </c>
      <c r="P1" s="8" t="inlineStr">
        <is>
          <t>Major_Hospitals</t>
        </is>
      </c>
      <c r="Q1" s="8" t="inlineStr">
        <is>
          <t>Transplant_Centers</t>
        </is>
      </c>
      <c r="R1" s="8" t="inlineStr">
        <is>
          <t>ASP</t>
        </is>
      </c>
      <c r="S1" s="8" t="inlineStr">
        <is>
          <t>TAM</t>
        </is>
      </c>
      <c r="T1" s="8" t="inlineStr">
        <is>
          <t>SAM</t>
        </is>
      </c>
      <c r="U1" s="8" t="inlineStr">
        <is>
          <t>SOM</t>
        </is>
      </c>
      <c r="V1" s="8" t="inlineStr">
        <is>
          <t>Investment_Score</t>
        </is>
      </c>
      <c r="W1" s="8" t="inlineStr">
        <is>
          <t>Investment_Grade</t>
        </is>
      </c>
      <c r="X1" s="8" t="inlineStr">
        <is>
          <t>KOL_Coverage</t>
        </is>
      </c>
      <c r="Y1" s="8" t="inlineStr">
        <is>
          <t>Distributor_Coverage</t>
        </is>
      </c>
      <c r="Z1" s="8" t="inlineStr">
        <is>
          <t>Tender_Coverage</t>
        </is>
      </c>
      <c r="AA1" s="8" t="inlineStr">
        <is>
          <t>Data_Gap_Status</t>
        </is>
      </c>
      <c r="AB1" s="8" t="inlineStr">
        <is>
          <t>Evidence_Level</t>
        </is>
      </c>
      <c r="AC1" s="8" t="inlineStr">
        <is>
          <t>Confidence</t>
        </is>
      </c>
      <c r="AD1" s="8" t="inlineStr">
        <is>
          <t>Source_ID</t>
        </is>
      </c>
      <c r="AE1" s="8" t="inlineStr">
        <is>
          <t>Source_URL</t>
        </is>
      </c>
      <c r="AF1" s="8" t="inlineStr">
        <is>
          <t>Evidence_Note</t>
        </is>
      </c>
    </row>
    <row r="2" ht="30" customHeight="1">
      <c r="A2" s="2" t="inlineStr">
        <is>
          <t>Jordan</t>
        </is>
      </c>
      <c r="B2" s="2" t="inlineStr">
        <is>
          <t>JOR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n">
        <v>10</v>
      </c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>
        <is>
          <t>GAP</t>
        </is>
      </c>
      <c r="Y2" s="2" t="inlineStr">
        <is>
          <t>GAP</t>
        </is>
      </c>
      <c r="Z2" s="2" t="inlineStr">
        <is>
          <t>GAP</t>
        </is>
      </c>
      <c r="AA2" s="2" t="inlineStr">
        <is>
          <t>CRITICAL_GAPS</t>
        </is>
      </c>
      <c r="AB2" s="2" t="inlineStr">
        <is>
          <t>NEEDS_VERIFICATION</t>
        </is>
      </c>
      <c r="AC2" s="2" t="inlineStr">
        <is>
          <t>Low</t>
        </is>
      </c>
      <c r="AD2" s="2" t="inlineStr">
        <is>
          <t>SRC-WEB-040</t>
        </is>
      </c>
      <c r="AE2" s="2" t="inlineStr">
        <is>
          <t>https://pmc.ncbi.nlm.nih.gov/articles/PMC11486397/</t>
        </is>
      </c>
      <c r="AF2" s="2" t="inlineStr">
        <is>
          <t>2022 multicenter study confirms multiple government/university HD units; no national current census in source. 2026 fields are intentionally blank unless directly supported by a 2026 source.</t>
        </is>
      </c>
    </row>
  </sheetData>
  <autoFilter ref="A1:AF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F2"/>
  <sheetViews>
    <sheetView showGridLines="1" workbookViewId="0">
      <pane ySplit="1" topLeftCell="A2" activePane="bottomLeft" state="frozen"/>
      <selection pane="bottomLeft" activeCell="A1" sqref="A1"/>
      <selection pane="bottomLeft" activeCell="A1" sqref="A1"/>
    </sheetView>
  </sheetViews>
  <sheetFormatPr baseColWidth="8" defaultColWidth="9" defaultRowHeight="15"/>
  <cols>
    <col width="10" customWidth="1" min="1" max="1"/>
    <col width="14" customWidth="1" min="2" max="2"/>
    <col width="16" customWidth="1" min="3" max="4"/>
    <col width="18" customWidth="1" min="4" max="4"/>
    <col width="21" customWidth="1" min="5" max="5"/>
    <col width="27" customWidth="1" min="6" max="6"/>
    <col width="22" customWidth="1" min="7" max="7"/>
    <col width="25" customWidth="1" min="8" max="8"/>
    <col width="22" customWidth="1" min="9" max="9"/>
    <col width="10" customWidth="1" min="10" max="10"/>
    <col width="26" customWidth="1" min="11" max="11"/>
    <col width="10" customWidth="1" min="12" max="12"/>
    <col width="29" customWidth="1" min="13" max="13"/>
    <col width="14" customWidth="1" min="14" max="14"/>
    <col width="10" customWidth="1" min="15" max="15"/>
    <col width="17" customWidth="1" min="16" max="16"/>
    <col width="2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8" customWidth="1" min="22" max="22"/>
    <col width="18" customWidth="1" min="23" max="23"/>
    <col width="14" customWidth="1" min="24" max="24"/>
    <col width="22" customWidth="1" min="25" max="25"/>
    <col width="17" customWidth="1" min="26" max="26"/>
    <col width="17" customWidth="1" min="27" max="27"/>
    <col width="16" customWidth="1" min="28" max="28"/>
    <col width="12" customWidth="1" min="29" max="29"/>
    <col width="13" customWidth="1" min="30" max="30"/>
    <col width="45" customWidth="1" min="31" max="31"/>
    <col width="45" customWidth="1" min="32" max="32"/>
  </cols>
  <sheetData>
    <row r="1">
      <c r="A1" s="8" t="inlineStr">
        <is>
          <t>Country</t>
        </is>
      </c>
      <c r="B1" s="8" t="inlineStr">
        <is>
          <t>Country_Code</t>
        </is>
      </c>
      <c r="C1" s="8" t="inlineStr">
        <is>
          <t>Reference_Year</t>
        </is>
      </c>
      <c r="D1" s="8" t="inlineStr">
        <is>
          <t>2026_HD_Patients</t>
        </is>
      </c>
      <c r="E1" s="8" t="inlineStr">
        <is>
          <t>2026_Total_Dialysis</t>
        </is>
      </c>
      <c r="F1" s="8" t="inlineStr">
        <is>
          <t>Base_Catheter_Demand_2026</t>
        </is>
      </c>
      <c r="G1" s="8" t="inlineStr">
        <is>
          <t>Tunneled_Demand_2026</t>
        </is>
      </c>
      <c r="H1" s="8" t="inlineStr">
        <is>
          <t>NonTunneled_Demand_2026</t>
        </is>
      </c>
      <c r="I1" s="8" t="inlineStr">
        <is>
          <t>KRT_Chronic_Dialysis</t>
        </is>
      </c>
      <c r="J1" s="8" t="inlineStr">
        <is>
          <t>KRT_Year</t>
        </is>
      </c>
      <c r="K1" s="8" t="inlineStr">
        <is>
          <t>HD_Population_Historical</t>
        </is>
      </c>
      <c r="L1" s="8" t="inlineStr">
        <is>
          <t>HD_Year</t>
        </is>
      </c>
      <c r="M1" s="8" t="inlineStr">
        <is>
          <t>Dialysis_Centers_Historical</t>
        </is>
      </c>
      <c r="N1" s="8" t="inlineStr">
        <is>
          <t>Centers_Year</t>
        </is>
      </c>
      <c r="O1" s="8" t="inlineStr">
        <is>
          <t>HD_Units</t>
        </is>
      </c>
      <c r="P1" s="8" t="inlineStr">
        <is>
          <t>Major_Hospitals</t>
        </is>
      </c>
      <c r="Q1" s="8" t="inlineStr">
        <is>
          <t>Transplant_Centers</t>
        </is>
      </c>
      <c r="R1" s="8" t="inlineStr">
        <is>
          <t>ASP</t>
        </is>
      </c>
      <c r="S1" s="8" t="inlineStr">
        <is>
          <t>TAM</t>
        </is>
      </c>
      <c r="T1" s="8" t="inlineStr">
        <is>
          <t>SAM</t>
        </is>
      </c>
      <c r="U1" s="8" t="inlineStr">
        <is>
          <t>SOM</t>
        </is>
      </c>
      <c r="V1" s="8" t="inlineStr">
        <is>
          <t>Investment_Score</t>
        </is>
      </c>
      <c r="W1" s="8" t="inlineStr">
        <is>
          <t>Investment_Grade</t>
        </is>
      </c>
      <c r="X1" s="8" t="inlineStr">
        <is>
          <t>KOL_Coverage</t>
        </is>
      </c>
      <c r="Y1" s="8" t="inlineStr">
        <is>
          <t>Distributor_Coverage</t>
        </is>
      </c>
      <c r="Z1" s="8" t="inlineStr">
        <is>
          <t>Tender_Coverage</t>
        </is>
      </c>
      <c r="AA1" s="8" t="inlineStr">
        <is>
          <t>Data_Gap_Status</t>
        </is>
      </c>
      <c r="AB1" s="8" t="inlineStr">
        <is>
          <t>Evidence_Level</t>
        </is>
      </c>
      <c r="AC1" s="8" t="inlineStr">
        <is>
          <t>Confidence</t>
        </is>
      </c>
      <c r="AD1" s="8" t="inlineStr">
        <is>
          <t>Source_ID</t>
        </is>
      </c>
      <c r="AE1" s="8" t="inlineStr">
        <is>
          <t>Source_URL</t>
        </is>
      </c>
      <c r="AF1" s="8" t="inlineStr">
        <is>
          <t>Evidence_Note</t>
        </is>
      </c>
    </row>
    <row r="2" ht="30" customHeight="1">
      <c r="A2" s="2" t="inlineStr">
        <is>
          <t>Lebanon</t>
        </is>
      </c>
      <c r="B2" s="2" t="inlineStr">
        <is>
          <t>LBN</t>
        </is>
      </c>
      <c r="C2" s="2" t="n">
        <v>2015</v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n">
        <v>60</v>
      </c>
      <c r="N2" s="2" t="n">
        <v>2015</v>
      </c>
      <c r="O2" s="2" t="inlineStr"/>
      <c r="P2" s="2" t="n">
        <v>25</v>
      </c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>
        <is>
          <t>GAP</t>
        </is>
      </c>
      <c r="Y2" s="2" t="inlineStr">
        <is>
          <t>GAP</t>
        </is>
      </c>
      <c r="Z2" s="2" t="inlineStr">
        <is>
          <t>GAP</t>
        </is>
      </c>
      <c r="AA2" s="2" t="inlineStr">
        <is>
          <t>CRITICAL_GAPS</t>
        </is>
      </c>
      <c r="AB2" s="2" t="inlineStr">
        <is>
          <t>OBSERVED</t>
        </is>
      </c>
      <c r="AC2" s="2" t="inlineStr">
        <is>
          <t>Very High</t>
        </is>
      </c>
      <c r="AD2" s="2" t="inlineStr">
        <is>
          <t>SRC-WEB-045</t>
        </is>
      </c>
      <c r="AE2" s="2" t="inlineStr">
        <is>
          <t>https://pmc.ncbi.nlm.nih.gov/articles/PMC4707162/</t>
        </is>
      </c>
      <c r="AF2" s="2" t="inlineStr">
        <is>
          <t>2015 study reported 60 HD centers; Lebanon's 2023 review states all HD is hospital-based. 2026 fields are intentionally blank unless directly supported by a 2026 source.</t>
        </is>
      </c>
    </row>
  </sheetData>
  <autoFilter ref="A1:AF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F2"/>
  <sheetViews>
    <sheetView showGridLines="1" workbookViewId="0">
      <pane ySplit="1" topLeftCell="A2" activePane="bottomLeft" state="frozen"/>
      <selection pane="bottomLeft" activeCell="A1" sqref="A1"/>
      <selection pane="bottomLeft" activeCell="A1" sqref="A1"/>
    </sheetView>
  </sheetViews>
  <sheetFormatPr baseColWidth="8" defaultColWidth="9" defaultRowHeight="15"/>
  <cols>
    <col width="10" customWidth="1" min="1" max="1"/>
    <col width="14" customWidth="1" min="2" max="2"/>
    <col width="16" customWidth="1" min="3" max="4"/>
    <col width="18" customWidth="1" min="4" max="4"/>
    <col width="21" customWidth="1" min="5" max="5"/>
    <col width="27" customWidth="1" min="6" max="6"/>
    <col width="22" customWidth="1" min="7" max="7"/>
    <col width="25" customWidth="1" min="8" max="8"/>
    <col width="22" customWidth="1" min="9" max="9"/>
    <col width="10" customWidth="1" min="10" max="10"/>
    <col width="26" customWidth="1" min="11" max="11"/>
    <col width="10" customWidth="1" min="12" max="12"/>
    <col width="29" customWidth="1" min="13" max="13"/>
    <col width="14" customWidth="1" min="14" max="14"/>
    <col width="10" customWidth="1" min="15" max="15"/>
    <col width="17" customWidth="1" min="16" max="16"/>
    <col width="2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8" customWidth="1" min="22" max="22"/>
    <col width="18" customWidth="1" min="23" max="23"/>
    <col width="14" customWidth="1" min="24" max="24"/>
    <col width="22" customWidth="1" min="25" max="25"/>
    <col width="17" customWidth="1" min="26" max="26"/>
    <col width="17" customWidth="1" min="27" max="27"/>
    <col width="16" customWidth="1" min="28" max="28"/>
    <col width="12" customWidth="1" min="29" max="29"/>
    <col width="13" customWidth="1" min="30" max="30"/>
    <col width="45" customWidth="1" min="31" max="31"/>
    <col width="45" customWidth="1" min="32" max="32"/>
  </cols>
  <sheetData>
    <row r="1">
      <c r="A1" s="8" t="inlineStr">
        <is>
          <t>Country</t>
        </is>
      </c>
      <c r="B1" s="8" t="inlineStr">
        <is>
          <t>Country_Code</t>
        </is>
      </c>
      <c r="C1" s="8" t="inlineStr">
        <is>
          <t>Reference_Year</t>
        </is>
      </c>
      <c r="D1" s="8" t="inlineStr">
        <is>
          <t>2026_HD_Patients</t>
        </is>
      </c>
      <c r="E1" s="8" t="inlineStr">
        <is>
          <t>2026_Total_Dialysis</t>
        </is>
      </c>
      <c r="F1" s="8" t="inlineStr">
        <is>
          <t>Base_Catheter_Demand_2026</t>
        </is>
      </c>
      <c r="G1" s="8" t="inlineStr">
        <is>
          <t>Tunneled_Demand_2026</t>
        </is>
      </c>
      <c r="H1" s="8" t="inlineStr">
        <is>
          <t>NonTunneled_Demand_2026</t>
        </is>
      </c>
      <c r="I1" s="8" t="inlineStr">
        <is>
          <t>KRT_Chronic_Dialysis</t>
        </is>
      </c>
      <c r="J1" s="8" t="inlineStr">
        <is>
          <t>KRT_Year</t>
        </is>
      </c>
      <c r="K1" s="8" t="inlineStr">
        <is>
          <t>HD_Population_Historical</t>
        </is>
      </c>
      <c r="L1" s="8" t="inlineStr">
        <is>
          <t>HD_Year</t>
        </is>
      </c>
      <c r="M1" s="8" t="inlineStr">
        <is>
          <t>Dialysis_Centers_Historical</t>
        </is>
      </c>
      <c r="N1" s="8" t="inlineStr">
        <is>
          <t>Centers_Year</t>
        </is>
      </c>
      <c r="O1" s="8" t="inlineStr">
        <is>
          <t>HD_Units</t>
        </is>
      </c>
      <c r="P1" s="8" t="inlineStr">
        <is>
          <t>Major_Hospitals</t>
        </is>
      </c>
      <c r="Q1" s="8" t="inlineStr">
        <is>
          <t>Transplant_Centers</t>
        </is>
      </c>
      <c r="R1" s="8" t="inlineStr">
        <is>
          <t>ASP</t>
        </is>
      </c>
      <c r="S1" s="8" t="inlineStr">
        <is>
          <t>TAM</t>
        </is>
      </c>
      <c r="T1" s="8" t="inlineStr">
        <is>
          <t>SAM</t>
        </is>
      </c>
      <c r="U1" s="8" t="inlineStr">
        <is>
          <t>SOM</t>
        </is>
      </c>
      <c r="V1" s="8" t="inlineStr">
        <is>
          <t>Investment_Score</t>
        </is>
      </c>
      <c r="W1" s="8" t="inlineStr">
        <is>
          <t>Investment_Grade</t>
        </is>
      </c>
      <c r="X1" s="8" t="inlineStr">
        <is>
          <t>KOL_Coverage</t>
        </is>
      </c>
      <c r="Y1" s="8" t="inlineStr">
        <is>
          <t>Distributor_Coverage</t>
        </is>
      </c>
      <c r="Z1" s="8" t="inlineStr">
        <is>
          <t>Tender_Coverage</t>
        </is>
      </c>
      <c r="AA1" s="8" t="inlineStr">
        <is>
          <t>Data_Gap_Status</t>
        </is>
      </c>
      <c r="AB1" s="8" t="inlineStr">
        <is>
          <t>Evidence_Level</t>
        </is>
      </c>
      <c r="AC1" s="8" t="inlineStr">
        <is>
          <t>Confidence</t>
        </is>
      </c>
      <c r="AD1" s="8" t="inlineStr">
        <is>
          <t>Source_ID</t>
        </is>
      </c>
      <c r="AE1" s="8" t="inlineStr">
        <is>
          <t>Source_URL</t>
        </is>
      </c>
      <c r="AF1" s="8" t="inlineStr">
        <is>
          <t>Evidence_Note</t>
        </is>
      </c>
    </row>
    <row r="2" ht="30" customHeight="1">
      <c r="A2" s="2" t="inlineStr">
        <is>
          <t>Iraq</t>
        </is>
      </c>
      <c r="B2" s="2" t="inlineStr">
        <is>
          <t>IRQ</t>
        </is>
      </c>
      <c r="C2" s="2" t="n">
        <v>2023</v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n">
        <v>10721</v>
      </c>
      <c r="L2" s="2" t="n">
        <v>2023</v>
      </c>
      <c r="M2" s="2" t="n">
        <v>19</v>
      </c>
      <c r="N2" s="2" t="n">
        <v>2018</v>
      </c>
      <c r="O2" s="2" t="inlineStr"/>
      <c r="P2" s="2" t="n">
        <v>5</v>
      </c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>
        <is>
          <t>GAP</t>
        </is>
      </c>
      <c r="Y2" s="2" t="inlineStr">
        <is>
          <t>GAP</t>
        </is>
      </c>
      <c r="Z2" s="2" t="inlineStr">
        <is>
          <t>GAP</t>
        </is>
      </c>
      <c r="AA2" s="2" t="inlineStr">
        <is>
          <t>CRITICAL_GAPS</t>
        </is>
      </c>
      <c r="AB2" s="2" t="inlineStr">
        <is>
          <t>OBSERVED</t>
        </is>
      </c>
      <c r="AC2" s="2" t="inlineStr">
        <is>
          <t>Very High</t>
        </is>
      </c>
      <c r="AD2" s="2" t="inlineStr">
        <is>
          <t>SRC-WEB-050</t>
        </is>
      </c>
      <c r="AE2" s="2" t="inlineStr">
        <is>
          <t>https://iqnjm.com/index.php/homepage/article/view/187</t>
        </is>
      </c>
      <c r="AF2" s="2" t="inlineStr">
        <is>
          <t>2025 national study included 10,721 HD patients in 2023; 2018 MOH report cited 19 dialysis centers, with 11 in Baghdad. 2026 fields are intentionally blank unless directly supported by a 2026 source.</t>
        </is>
      </c>
    </row>
  </sheetData>
  <autoFilter ref="A1:AF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0070AD47"/>
    <outlinePr summaryBelow="1" summaryRight="1"/>
    <pageSetUpPr/>
  </sheetPr>
  <dimension ref="A1:BC10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45" customWidth="1" min="4" max="4"/>
    <col width="28" customWidth="1" min="5" max="5"/>
    <col width="22" customWidth="1" min="6" max="6"/>
    <col width="19" customWidth="1" min="7" max="7"/>
    <col width="19" customWidth="1" min="8" max="8"/>
    <col width="21" customWidth="1" min="9" max="9"/>
    <col width="10" customWidth="1" min="10" max="10"/>
    <col width="19" customWidth="1" min="11" max="11"/>
    <col width="15" customWidth="1" min="12" max="12"/>
    <col width="45" customWidth="1" min="13" max="13"/>
    <col width="20" customWidth="1" min="14" max="14"/>
    <col width="18" customWidth="1" min="15" max="15"/>
    <col width="20" customWidth="1" min="16" max="16"/>
    <col width="12" customWidth="1" min="17" max="17"/>
    <col width="12" customWidth="1" min="18" max="18"/>
    <col width="10" customWidth="1" min="19" max="19"/>
    <col width="14" customWidth="1" min="20" max="20"/>
    <col width="15" customWidth="1" min="21" max="21"/>
    <col width="10" customWidth="1" min="22" max="22"/>
    <col width="12" customWidth="1" min="23" max="23"/>
    <col width="20" customWidth="1" min="24" max="24"/>
    <col width="13" customWidth="1" min="25" max="25"/>
    <col width="13" customWidth="1" min="26" max="26"/>
    <col width="19" customWidth="1" min="27" max="27"/>
    <col width="23" customWidth="1" min="28" max="28"/>
    <col width="23" customWidth="1" min="29" max="29"/>
    <col width="20" customWidth="1" min="30" max="30"/>
    <col width="23" customWidth="1" min="31" max="31"/>
    <col width="25" customWidth="1" min="32" max="32"/>
    <col width="26" customWidth="1" min="33" max="33"/>
    <col width="18" customWidth="1" min="34" max="34"/>
    <col width="19" customWidth="1" min="35" max="35"/>
    <col width="19" customWidth="1" min="36" max="36"/>
    <col width="21" customWidth="1" min="37" max="37"/>
    <col width="21" customWidth="1" min="38" max="38"/>
    <col width="13" customWidth="1" min="39" max="39"/>
    <col width="21" customWidth="1" min="40" max="40"/>
    <col width="20" customWidth="1" min="41" max="41"/>
    <col width="23" customWidth="1" min="42" max="42"/>
    <col width="27" customWidth="1" min="43" max="43"/>
    <col width="26" customWidth="1" min="44" max="44"/>
    <col width="22" customWidth="1" min="45" max="45"/>
    <col width="21" customWidth="1" min="46" max="46"/>
    <col width="16" customWidth="1" min="47" max="47"/>
    <col width="12" customWidth="1" min="48" max="48"/>
    <col width="45" customWidth="1" min="49" max="49"/>
    <col width="45" customWidth="1" min="50" max="50"/>
    <col width="45" customWidth="1" min="51" max="51"/>
    <col width="45" customWidth="1" min="52" max="52"/>
    <col width="15" customWidth="1" min="53" max="53"/>
    <col width="36" customWidth="1" min="54" max="54"/>
    <col width="45" customWidth="1" min="55" max="55"/>
  </cols>
  <sheetData>
    <row r="1">
      <c r="A1" s="8" t="inlineStr">
        <is>
          <t>Facility_ID</t>
        </is>
      </c>
      <c r="B1" s="8" t="inlineStr">
        <is>
          <t>Country</t>
        </is>
      </c>
      <c r="C1" s="8" t="inlineStr">
        <is>
          <t>Country_Code</t>
        </is>
      </c>
      <c r="D1" s="8" t="inlineStr">
        <is>
          <t>Facility_Name</t>
        </is>
      </c>
      <c r="E1" s="8" t="inlineStr">
        <is>
          <t>Facility_Type</t>
        </is>
      </c>
      <c r="F1" s="8" t="inlineStr">
        <is>
          <t>Facility_Category</t>
        </is>
      </c>
      <c r="G1" s="8" t="inlineStr">
        <is>
          <t>City</t>
        </is>
      </c>
      <c r="H1" s="8" t="inlineStr">
        <is>
          <t>Region</t>
        </is>
      </c>
      <c r="I1" s="8" t="inlineStr">
        <is>
          <t>Governorate_Emirate</t>
        </is>
      </c>
      <c r="J1" s="8" t="inlineStr">
        <is>
          <t>Address</t>
        </is>
      </c>
      <c r="K1" s="8" t="inlineStr">
        <is>
          <t>Healthcare_System</t>
        </is>
      </c>
      <c r="L1" s="8" t="inlineStr">
        <is>
          <t>Hospital_Name</t>
        </is>
      </c>
      <c r="M1" s="8" t="inlineStr">
        <is>
          <t>Dialysis_Center_Name</t>
        </is>
      </c>
      <c r="N1" s="8" t="inlineStr">
        <is>
          <t>Dialysis_Unit_Name</t>
        </is>
      </c>
      <c r="O1" s="8" t="inlineStr">
        <is>
          <t>Ownership_Sector</t>
        </is>
      </c>
      <c r="P1" s="8" t="inlineStr">
        <is>
          <t>Government_Private</t>
        </is>
      </c>
      <c r="Q1" s="8" t="inlineStr">
        <is>
          <t>HD_Service</t>
        </is>
      </c>
      <c r="R1" s="8" t="inlineStr">
        <is>
          <t>Chronic_HD</t>
        </is>
      </c>
      <c r="S1" s="8" t="inlineStr">
        <is>
          <t>Acute_HD</t>
        </is>
      </c>
      <c r="T1" s="8" t="inlineStr">
        <is>
          <t>Inpatient_HD</t>
        </is>
      </c>
      <c r="U1" s="8" t="inlineStr">
        <is>
          <t>Outpatient_HD</t>
        </is>
      </c>
      <c r="V1" s="8" t="inlineStr">
        <is>
          <t>Home_HD</t>
        </is>
      </c>
      <c r="W1" s="8" t="inlineStr">
        <is>
          <t>PD_Service</t>
        </is>
      </c>
      <c r="X1" s="8" t="inlineStr">
        <is>
          <t>Transplant_Service</t>
        </is>
      </c>
      <c r="Y1" s="8" t="inlineStr">
        <is>
          <t>HD_Stations</t>
        </is>
      </c>
      <c r="Z1" s="8" t="inlineStr">
        <is>
          <t>HD_Machines</t>
        </is>
      </c>
      <c r="AA1" s="8" t="inlineStr">
        <is>
          <t>HD_Shifts_Per_Day</t>
        </is>
      </c>
      <c r="AB1" s="8" t="inlineStr">
        <is>
          <t>Estimated_HD_Patients</t>
        </is>
      </c>
      <c r="AC1" s="8" t="inlineStr">
        <is>
          <t>Published_HD_Patients</t>
        </is>
      </c>
      <c r="AD1" s="8" t="inlineStr">
        <is>
          <t>Annual_HD_Patients</t>
        </is>
      </c>
      <c r="AE1" s="8" t="inlineStr">
        <is>
          <t>Nephrology_Department</t>
        </is>
      </c>
      <c r="AF1" s="8" t="inlineStr">
        <is>
          <t>Vascular_Access_Service</t>
        </is>
      </c>
      <c r="AG1" s="8" t="inlineStr">
        <is>
          <t>Interventional_Radiology</t>
        </is>
      </c>
      <c r="AH1" s="8" t="inlineStr">
        <is>
          <t>Vascular_Surgery</t>
        </is>
      </c>
      <c r="AI1" s="8" t="inlineStr">
        <is>
          <t>Procurement_Model</t>
        </is>
      </c>
      <c r="AJ1" s="8" t="inlineStr">
        <is>
          <t>Government_Tender</t>
        </is>
      </c>
      <c r="AK1" s="8" t="inlineStr">
        <is>
          <t>Central_Procurement</t>
        </is>
      </c>
      <c r="AL1" s="8" t="inlineStr">
        <is>
          <t>Private_Procurement</t>
        </is>
      </c>
      <c r="AM1" s="8" t="inlineStr">
        <is>
          <t>Distributor</t>
        </is>
      </c>
      <c r="AN1" s="8" t="inlineStr">
        <is>
          <t>Manufacturer_Brands</t>
        </is>
      </c>
      <c r="AO1" s="8" t="inlineStr">
        <is>
          <t>Catheter_Relevance</t>
        </is>
      </c>
      <c r="AP1" s="8" t="inlineStr">
        <is>
          <t>Tunneled_Catheter_Use</t>
        </is>
      </c>
      <c r="AQ1" s="8" t="inlineStr">
        <is>
          <t>Non_Tunneled_Catheter_Use</t>
        </is>
      </c>
      <c r="AR1" s="8" t="inlineStr">
        <is>
          <t>Vascular_Access_Activity</t>
        </is>
      </c>
      <c r="AS1" s="8" t="inlineStr">
        <is>
          <t>Facility_Importance</t>
        </is>
      </c>
      <c r="AT1" s="8" t="inlineStr">
        <is>
          <t>Commercial_Priority</t>
        </is>
      </c>
      <c r="AU1" s="8" t="inlineStr">
        <is>
          <t>Evidence_Level</t>
        </is>
      </c>
      <c r="AV1" s="8" t="inlineStr">
        <is>
          <t>Confidence</t>
        </is>
      </c>
      <c r="AW1" s="8" t="inlineStr">
        <is>
          <t>Source_ID</t>
        </is>
      </c>
      <c r="AX1" s="8" t="inlineStr">
        <is>
          <t>Source_URL</t>
        </is>
      </c>
      <c r="AY1" s="8" t="inlineStr">
        <is>
          <t>Evidence_Note</t>
        </is>
      </c>
      <c r="AZ1" s="8" t="inlineStr">
        <is>
          <t>Verification_Status</t>
        </is>
      </c>
      <c r="BA1" s="8" t="inlineStr">
        <is>
          <t>Last_Verified</t>
        </is>
      </c>
      <c r="BB1" s="8" t="inlineStr">
        <is>
          <t>Commercial_Priority_Evidence_Level</t>
        </is>
      </c>
      <c r="BC1" s="8" t="inlineStr">
        <is>
          <t>Commercial_Priority_Note</t>
        </is>
      </c>
    </row>
    <row r="2">
      <c r="A2" s="2" t="inlineStr">
        <is>
          <t>SAU-F001</t>
        </is>
      </c>
      <c r="B2" s="2" t="inlineStr">
        <is>
          <t>Saudi Arabia</t>
        </is>
      </c>
      <c r="C2" s="2" t="inlineStr">
        <is>
          <t>SAU</t>
        </is>
      </c>
      <c r="D2" s="2" t="inlineStr">
        <is>
          <t>King Salman Center for Kidney Diseases</t>
        </is>
      </c>
      <c r="E2" s="2" t="inlineStr">
        <is>
          <t>Specialized_Renal_Center</t>
        </is>
      </c>
      <c r="F2" s="2" t="inlineStr">
        <is>
          <t>Renal/kidney center</t>
        </is>
      </c>
      <c r="G2" s="2" t="inlineStr">
        <is>
          <t>Riyadh</t>
        </is>
      </c>
      <c r="H2" s="2" t="inlineStr">
        <is>
          <t>Riyadh</t>
        </is>
      </c>
      <c r="I2" s="2" t="inlineStr">
        <is>
          <t>Riyadh</t>
        </is>
      </c>
      <c r="J2" s="2" t="inlineStr"/>
      <c r="K2" s="2" t="inlineStr"/>
      <c r="L2" s="2" t="inlineStr"/>
      <c r="M2" s="2" t="inlineStr">
        <is>
          <t>King Salman Center for Kidney Diseases</t>
        </is>
      </c>
      <c r="N2" s="2" t="inlineStr"/>
      <c r="O2" s="2" t="inlineStr">
        <is>
          <t>Government</t>
        </is>
      </c>
      <c r="P2" s="2" t="inlineStr">
        <is>
          <t>Government</t>
        </is>
      </c>
      <c r="Q2" s="2" t="inlineStr">
        <is>
          <t>Yes</t>
        </is>
      </c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n"/>
      <c r="Z2" s="2" t="inlineStr"/>
      <c r="AA2" s="2" t="inlineStr"/>
      <c r="AB2" s="2" t="inlineStr"/>
      <c r="AC2" s="2" t="n">
        <v>351</v>
      </c>
      <c r="AD2" s="2" t="n">
        <v>52018</v>
      </c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>
        <is>
          <t>Very_High</t>
        </is>
      </c>
      <c r="AP2" s="2" t="inlineStr"/>
      <c r="AQ2" s="2" t="inlineStr"/>
      <c r="AR2" s="2" t="inlineStr"/>
      <c r="AS2" s="2" t="inlineStr">
        <is>
          <t>Verified HD facility</t>
        </is>
      </c>
      <c r="AT2" s="2" t="inlineStr">
        <is>
          <t>Tier_1</t>
        </is>
      </c>
      <c r="AU2" s="2" t="inlineStr">
        <is>
          <t>OBSERVED</t>
        </is>
      </c>
      <c r="AV2" s="2" t="inlineStr">
        <is>
          <t>Very High</t>
        </is>
      </c>
      <c r="AW2" s="2" t="inlineStr">
        <is>
          <t>SRC-WEB-003</t>
        </is>
      </c>
      <c r="AX2" s="2" t="inlineStr">
        <is>
          <t>https://www.moh.gov.sa/en/ministry/mediacenter/news/pages/news-2017-10-15-001.aspx</t>
        </is>
      </c>
      <c r="AY2" s="2" t="inlineStr">
        <is>
          <t>MOH reported 52,018 hemodialysis sessions for 351 patients over 1438H; center provides HD and PD.</t>
        </is>
      </c>
      <c r="AZ2" s="2" t="inlineStr">
        <is>
          <t>SOURCE-VERIFIED HD SERVICE; CURRENT STATUS SHOULD BE RECHECKED WHERE SOURCE IS HISTORICAL</t>
        </is>
      </c>
      <c r="BA2" s="2" t="inlineStr">
        <is>
          <t>2026-08-10</t>
        </is>
      </c>
      <c r="BB2" s="2" t="inlineStr">
        <is>
          <t>ANALYST_SCENARIO</t>
        </is>
      </c>
      <c r="BC2" s="2" t="inlineStr">
        <is>
          <t>Analyst prioritization based on verified HD service; not observed market share.</t>
        </is>
      </c>
    </row>
    <row r="3">
      <c r="A3" s="2" t="inlineStr">
        <is>
          <t>SAU-F002</t>
        </is>
      </c>
      <c r="B3" s="2" t="inlineStr">
        <is>
          <t>Saudi Arabia</t>
        </is>
      </c>
      <c r="C3" s="2" t="inlineStr">
        <is>
          <t>SAU</t>
        </is>
      </c>
      <c r="D3" s="2" t="inlineStr">
        <is>
          <t>Prince Mohammed bin Abdul Aziz Hospital Dialysis Unit</t>
        </is>
      </c>
      <c r="E3" s="2" t="inlineStr">
        <is>
          <t>Hospital_Dialysis_Unit</t>
        </is>
      </c>
      <c r="F3" s="2" t="inlineStr">
        <is>
          <t>Hospital-based HD</t>
        </is>
      </c>
      <c r="G3" s="2" t="inlineStr">
        <is>
          <t>Riyadh</t>
        </is>
      </c>
      <c r="H3" s="2" t="inlineStr">
        <is>
          <t>Riyadh</t>
        </is>
      </c>
      <c r="I3" s="2" t="inlineStr">
        <is>
          <t>Riyadh</t>
        </is>
      </c>
      <c r="J3" s="2" t="inlineStr"/>
      <c r="K3" s="2" t="inlineStr"/>
      <c r="L3" s="2" t="inlineStr"/>
      <c r="M3" s="2" t="inlineStr"/>
      <c r="N3" s="2" t="inlineStr"/>
      <c r="O3" s="2" t="inlineStr">
        <is>
          <t>Government</t>
        </is>
      </c>
      <c r="P3" s="2" t="inlineStr">
        <is>
          <t>Government</t>
        </is>
      </c>
      <c r="Q3" s="2" t="inlineStr">
        <is>
          <t>Yes</t>
        </is>
      </c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n"/>
      <c r="Z3" s="2" t="inlineStr"/>
      <c r="AA3" s="2" t="inlineStr"/>
      <c r="AB3" s="2" t="inlineStr"/>
      <c r="AC3" s="2" t="n"/>
      <c r="AD3" s="2" t="n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>
        <is>
          <t>High</t>
        </is>
      </c>
      <c r="AP3" s="2" t="inlineStr"/>
      <c r="AQ3" s="2" t="inlineStr"/>
      <c r="AR3" s="2" t="inlineStr"/>
      <c r="AS3" s="2" t="inlineStr">
        <is>
          <t>Verified HD facility</t>
        </is>
      </c>
      <c r="AT3" s="2" t="inlineStr">
        <is>
          <t>Tier_1</t>
        </is>
      </c>
      <c r="AU3" s="2" t="inlineStr">
        <is>
          <t>OBSERVED</t>
        </is>
      </c>
      <c r="AV3" s="2" t="inlineStr">
        <is>
          <t>Very High</t>
        </is>
      </c>
      <c r="AW3" s="2" t="inlineStr">
        <is>
          <t>SRC-WEB-009</t>
        </is>
      </c>
      <c r="AX3" s="2" t="inlineStr">
        <is>
          <t>https://www.moh.gov.sa/en/ministry/mediacenter/news/pages/news-2014-11-18-002.aspx</t>
        </is>
      </c>
      <c r="AY3" s="2" t="inlineStr">
        <is>
          <t>MOH documented launch of a dialysis unit providing hemodialysis and peritoneal dialysis in collaboration with Diaverum.</t>
        </is>
      </c>
      <c r="AZ3" s="2" t="inlineStr">
        <is>
          <t>SOURCE-VERIFIED HD SERVICE; CURRENT STATUS SHOULD BE RECHECKED WHERE SOURCE IS HISTORICAL</t>
        </is>
      </c>
      <c r="BA3" s="2" t="inlineStr">
        <is>
          <t>2026-08-10</t>
        </is>
      </c>
      <c r="BB3" s="2" t="inlineStr">
        <is>
          <t>ANALYST_SCENARIO</t>
        </is>
      </c>
      <c r="BC3" s="2" t="inlineStr">
        <is>
          <t>Analyst prioritization based on verified HD service; not observed market share.</t>
        </is>
      </c>
    </row>
    <row r="4">
      <c r="A4" s="2" t="inlineStr">
        <is>
          <t>SAU-F003</t>
        </is>
      </c>
      <c r="B4" s="2" t="inlineStr">
        <is>
          <t>Saudi Arabia</t>
        </is>
      </c>
      <c r="C4" s="2" t="inlineStr">
        <is>
          <t>SAU</t>
        </is>
      </c>
      <c r="D4" s="2" t="inlineStr">
        <is>
          <t>Prince Abdul Majeed Dialysis Centre</t>
        </is>
      </c>
      <c r="E4" s="2" t="inlineStr">
        <is>
          <t>Standalone_Dialysis_Center</t>
        </is>
      </c>
      <c r="F4" s="2" t="inlineStr">
        <is>
          <t>Standalone HD center</t>
        </is>
      </c>
      <c r="G4" s="2" t="inlineStr">
        <is>
          <t>Jeddah</t>
        </is>
      </c>
      <c r="H4" s="2" t="inlineStr">
        <is>
          <t>Makkah</t>
        </is>
      </c>
      <c r="I4" s="2" t="inlineStr">
        <is>
          <t>Makkah</t>
        </is>
      </c>
      <c r="J4" s="2" t="inlineStr"/>
      <c r="K4" s="2" t="inlineStr"/>
      <c r="L4" s="2" t="inlineStr"/>
      <c r="M4" s="2" t="inlineStr">
        <is>
          <t>Prince Abdul Majeed Dialysis Centre</t>
        </is>
      </c>
      <c r="N4" s="2" t="inlineStr"/>
      <c r="O4" s="2" t="inlineStr">
        <is>
          <t>Government</t>
        </is>
      </c>
      <c r="P4" s="2" t="inlineStr">
        <is>
          <t>Government</t>
        </is>
      </c>
      <c r="Q4" s="2" t="inlineStr">
        <is>
          <t>Yes</t>
        </is>
      </c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n"/>
      <c r="Z4" s="2" t="inlineStr"/>
      <c r="AA4" s="2" t="inlineStr"/>
      <c r="AB4" s="2" t="inlineStr"/>
      <c r="AC4" s="2" t="inlineStr"/>
      <c r="AD4" s="2" t="n"/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>
        <is>
          <t>Unknown</t>
        </is>
      </c>
      <c r="AP4" s="2" t="inlineStr"/>
      <c r="AQ4" s="2" t="inlineStr"/>
      <c r="AR4" s="2" t="inlineStr"/>
      <c r="AS4" s="2" t="inlineStr">
        <is>
          <t>Verified HD facility</t>
        </is>
      </c>
      <c r="AT4" s="2" t="inlineStr">
        <is>
          <t>Tier_1</t>
        </is>
      </c>
      <c r="AU4" s="2" t="inlineStr">
        <is>
          <t>OBSERVED</t>
        </is>
      </c>
      <c r="AV4" s="2" t="inlineStr">
        <is>
          <t>Very High</t>
        </is>
      </c>
      <c r="AW4" s="2" t="inlineStr">
        <is>
          <t>SRC-WEB-002</t>
        </is>
      </c>
      <c r="AX4" s="2" t="inlineStr">
        <is>
          <t>https://www.moh.gov.sa/en/ministry/mediacenter/news/pages/news-2021-03-11-001.aspx</t>
        </is>
      </c>
      <c r="AY4" s="2" t="inlineStr">
        <is>
          <t>MOH reported launch in 2020 with maximum capacity of 168 patients; first phase received 42. Exact current HD stations not stated.</t>
        </is>
      </c>
      <c r="AZ4" s="2" t="inlineStr">
        <is>
          <t>SOURCE-VERIFIED HD SERVICE; CURRENT STATUS SHOULD BE RECHECKED WHERE SOURCE IS HISTORICAL</t>
        </is>
      </c>
      <c r="BA4" s="2" t="inlineStr">
        <is>
          <t>2026-08-10</t>
        </is>
      </c>
      <c r="BB4" s="2" t="inlineStr">
        <is>
          <t>ANALYST_SCENARIO</t>
        </is>
      </c>
      <c r="BC4" s="2" t="inlineStr">
        <is>
          <t>Analyst prioritization based on verified HD service; not observed market share.</t>
        </is>
      </c>
    </row>
    <row r="5">
      <c r="A5" s="2" t="inlineStr">
        <is>
          <t>SAU-F004</t>
        </is>
      </c>
      <c r="B5" s="2" t="inlineStr">
        <is>
          <t>Saudi Arabia</t>
        </is>
      </c>
      <c r="C5" s="2" t="inlineStr">
        <is>
          <t>SAU</t>
        </is>
      </c>
      <c r="D5" s="2" t="inlineStr">
        <is>
          <t>Renal Unit, Long-Term Care Hospital (Ar-Riayah Al-Madidah)</t>
        </is>
      </c>
      <c r="E5" s="2" t="inlineStr">
        <is>
          <t>Hospital_Dialysis_Unit</t>
        </is>
      </c>
      <c r="F5" s="2" t="inlineStr">
        <is>
          <t>Hospital-based HD</t>
        </is>
      </c>
      <c r="G5" s="2" t="inlineStr">
        <is>
          <t>Khamis Mushait</t>
        </is>
      </c>
      <c r="H5" s="2" t="inlineStr">
        <is>
          <t>Asir</t>
        </is>
      </c>
      <c r="I5" s="2" t="inlineStr">
        <is>
          <t>Asir</t>
        </is>
      </c>
      <c r="J5" s="2" t="inlineStr"/>
      <c r="K5" s="2" t="inlineStr"/>
      <c r="L5" s="2" t="inlineStr"/>
      <c r="M5" s="2" t="inlineStr"/>
      <c r="N5" s="2" t="inlineStr"/>
      <c r="O5" s="2" t="inlineStr">
        <is>
          <t>Government</t>
        </is>
      </c>
      <c r="P5" s="2" t="inlineStr">
        <is>
          <t>Government</t>
        </is>
      </c>
      <c r="Q5" s="2" t="inlineStr">
        <is>
          <t>Yes</t>
        </is>
      </c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n"/>
      <c r="Z5" s="2" t="inlineStr"/>
      <c r="AA5" s="2" t="inlineStr"/>
      <c r="AB5" s="2" t="inlineStr"/>
      <c r="AC5" s="2" t="n"/>
      <c r="AD5" s="2" t="n"/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>
        <is>
          <t>Unknown</t>
        </is>
      </c>
      <c r="AP5" s="2" t="inlineStr"/>
      <c r="AQ5" s="2" t="inlineStr"/>
      <c r="AR5" s="2" t="inlineStr"/>
      <c r="AS5" s="2" t="inlineStr">
        <is>
          <t>Verified HD facility</t>
        </is>
      </c>
      <c r="AT5" s="2" t="inlineStr">
        <is>
          <t>Tier_1</t>
        </is>
      </c>
      <c r="AU5" s="2" t="inlineStr">
        <is>
          <t>OBSERVED</t>
        </is>
      </c>
      <c r="AV5" s="2" t="inlineStr">
        <is>
          <t>Very High</t>
        </is>
      </c>
      <c r="AW5" s="2" t="inlineStr">
        <is>
          <t>SRC-WEB-002</t>
        </is>
      </c>
      <c r="AX5" s="2" t="inlineStr">
        <is>
          <t>https://www.moh.gov.sa/en/ministry/mediacenter/news/pages/news-2021-03-11-001.aspx</t>
        </is>
      </c>
      <c r="AY5" s="2" t="inlineStr">
        <is>
          <t>MOH reported expansion to 15 hemodialysis chairs and capacity increase from 12 to 60 patients.</t>
        </is>
      </c>
      <c r="AZ5" s="2" t="inlineStr">
        <is>
          <t>SOURCE-VERIFIED HD SERVICE; CURRENT STATUS SHOULD BE RECHECKED WHERE SOURCE IS HISTORICAL</t>
        </is>
      </c>
      <c r="BA5" s="2" t="inlineStr">
        <is>
          <t>2026-08-10</t>
        </is>
      </c>
      <c r="BB5" s="2" t="inlineStr">
        <is>
          <t>ANALYST_SCENARIO</t>
        </is>
      </c>
      <c r="BC5" s="2" t="inlineStr">
        <is>
          <t>Analyst prioritization based on verified HD service; not observed market share.</t>
        </is>
      </c>
    </row>
    <row r="6">
      <c r="A6" s="2" t="inlineStr">
        <is>
          <t>SAU-F005</t>
        </is>
      </c>
      <c r="B6" s="2" t="inlineStr">
        <is>
          <t>Saudi Arabia</t>
        </is>
      </c>
      <c r="C6" s="2" t="inlineStr">
        <is>
          <t>SAU</t>
        </is>
      </c>
      <c r="D6" s="2" t="inlineStr">
        <is>
          <t>Renal Unit, A Rafidah General Hospital</t>
        </is>
      </c>
      <c r="E6" s="2" t="inlineStr">
        <is>
          <t>Hospital_Dialysis_Unit</t>
        </is>
      </c>
      <c r="F6" s="2" t="inlineStr">
        <is>
          <t>Hospital-based HD</t>
        </is>
      </c>
      <c r="G6" s="2" t="inlineStr">
        <is>
          <t>Ahad Rafidah</t>
        </is>
      </c>
      <c r="H6" s="2" t="inlineStr">
        <is>
          <t>Asir</t>
        </is>
      </c>
      <c r="I6" s="2" t="inlineStr">
        <is>
          <t>Asir</t>
        </is>
      </c>
      <c r="J6" s="2" t="inlineStr"/>
      <c r="K6" s="2" t="inlineStr"/>
      <c r="L6" s="2" t="inlineStr"/>
      <c r="M6" s="2" t="inlineStr"/>
      <c r="N6" s="2" t="inlineStr"/>
      <c r="O6" s="2" t="inlineStr">
        <is>
          <t>Government</t>
        </is>
      </c>
      <c r="P6" s="2" t="inlineStr">
        <is>
          <t>Government</t>
        </is>
      </c>
      <c r="Q6" s="2" t="inlineStr">
        <is>
          <t>Yes</t>
        </is>
      </c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n"/>
      <c r="Z6" s="2" t="inlineStr"/>
      <c r="AA6" s="2" t="inlineStr"/>
      <c r="AB6" s="2" t="inlineStr"/>
      <c r="AC6" s="2" t="n"/>
      <c r="AD6" s="2" t="n"/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  <c r="AN6" s="2" t="inlineStr"/>
      <c r="AO6" s="2" t="inlineStr">
        <is>
          <t>Unknown</t>
        </is>
      </c>
      <c r="AP6" s="2" t="inlineStr"/>
      <c r="AQ6" s="2" t="inlineStr"/>
      <c r="AR6" s="2" t="inlineStr"/>
      <c r="AS6" s="2" t="inlineStr">
        <is>
          <t>Verified HD facility</t>
        </is>
      </c>
      <c r="AT6" s="2" t="inlineStr">
        <is>
          <t>Tier_2</t>
        </is>
      </c>
      <c r="AU6" s="2" t="inlineStr">
        <is>
          <t>OBSERVED</t>
        </is>
      </c>
      <c r="AV6" s="2" t="inlineStr">
        <is>
          <t>Very High</t>
        </is>
      </c>
      <c r="AW6" s="2" t="inlineStr">
        <is>
          <t>SRC-WEB-002</t>
        </is>
      </c>
      <c r="AX6" s="2" t="inlineStr">
        <is>
          <t>https://www.moh.gov.sa/en/ministry/mediacenter/news/pages/news-2021-03-11-001.aspx</t>
        </is>
      </c>
      <c r="AY6" s="2" t="inlineStr">
        <is>
          <t>MOH reported launch at capacity of 3 dialysis chairs and 12 patients.</t>
        </is>
      </c>
      <c r="AZ6" s="2" t="inlineStr">
        <is>
          <t>SOURCE-VERIFIED HD SERVICE; CURRENT STATUS SHOULD BE RECHECKED WHERE SOURCE IS HISTORICAL</t>
        </is>
      </c>
      <c r="BA6" s="2" t="inlineStr">
        <is>
          <t>2026-08-10</t>
        </is>
      </c>
      <c r="BB6" s="2" t="inlineStr">
        <is>
          <t>ANALYST_SCENARIO</t>
        </is>
      </c>
      <c r="BC6" s="2" t="inlineStr">
        <is>
          <t>Analyst prioritization based on verified HD service; not observed market share.</t>
        </is>
      </c>
    </row>
    <row r="7">
      <c r="A7" s="2" t="inlineStr">
        <is>
          <t>SAU-F006</t>
        </is>
      </c>
      <c r="B7" s="2" t="inlineStr">
        <is>
          <t>Saudi Arabia</t>
        </is>
      </c>
      <c r="C7" s="2" t="inlineStr">
        <is>
          <t>SAU</t>
        </is>
      </c>
      <c r="D7" s="2" t="inlineStr">
        <is>
          <t>Renal Center at Muhayil Assir</t>
        </is>
      </c>
      <c r="E7" s="2" t="inlineStr">
        <is>
          <t>Specialized_Renal_Center</t>
        </is>
      </c>
      <c r="F7" s="2" t="inlineStr">
        <is>
          <t>Renal/kidney center</t>
        </is>
      </c>
      <c r="G7" s="2" t="inlineStr">
        <is>
          <t>Muhayil</t>
        </is>
      </c>
      <c r="H7" s="2" t="inlineStr">
        <is>
          <t>Asir</t>
        </is>
      </c>
      <c r="I7" s="2" t="inlineStr">
        <is>
          <t>Asir</t>
        </is>
      </c>
      <c r="J7" s="2" t="inlineStr"/>
      <c r="K7" s="2" t="inlineStr"/>
      <c r="L7" s="2" t="inlineStr"/>
      <c r="M7" s="2" t="inlineStr">
        <is>
          <t>Renal Center at Muhayil Assir</t>
        </is>
      </c>
      <c r="N7" s="2" t="inlineStr"/>
      <c r="O7" s="2" t="inlineStr">
        <is>
          <t>Government</t>
        </is>
      </c>
      <c r="P7" s="2" t="inlineStr">
        <is>
          <t>Government</t>
        </is>
      </c>
      <c r="Q7" s="2" t="inlineStr">
        <is>
          <t>Yes</t>
        </is>
      </c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n"/>
      <c r="Z7" s="2" t="inlineStr"/>
      <c r="AA7" s="2" t="inlineStr"/>
      <c r="AB7" s="2" t="inlineStr"/>
      <c r="AC7" s="2" t="n"/>
      <c r="AD7" s="2" t="n"/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/>
      <c r="AO7" s="2" t="inlineStr">
        <is>
          <t>Unknown</t>
        </is>
      </c>
      <c r="AP7" s="2" t="inlineStr"/>
      <c r="AQ7" s="2" t="inlineStr"/>
      <c r="AR7" s="2" t="inlineStr"/>
      <c r="AS7" s="2" t="inlineStr">
        <is>
          <t>Verified HD facility</t>
        </is>
      </c>
      <c r="AT7" s="2" t="inlineStr">
        <is>
          <t>Tier_1</t>
        </is>
      </c>
      <c r="AU7" s="2" t="inlineStr">
        <is>
          <t>OBSERVED</t>
        </is>
      </c>
      <c r="AV7" s="2" t="inlineStr">
        <is>
          <t>Very High</t>
        </is>
      </c>
      <c r="AW7" s="2" t="inlineStr">
        <is>
          <t>SRC-WEB-002</t>
        </is>
      </c>
      <c r="AX7" s="2" t="inlineStr">
        <is>
          <t>https://www.moh.gov.sa/en/ministry/mediacenter/news/pages/news-2021-03-11-001.aspx</t>
        </is>
      </c>
      <c r="AY7" s="2" t="inlineStr">
        <is>
          <t>MOH reported completion with 20 dialysis chairs and maximum capacity of 80 patients.</t>
        </is>
      </c>
      <c r="AZ7" s="2" t="inlineStr">
        <is>
          <t>SOURCE-VERIFIED HD SERVICE; CURRENT STATUS SHOULD BE RECHECKED WHERE SOURCE IS HISTORICAL</t>
        </is>
      </c>
      <c r="BA7" s="2" t="inlineStr">
        <is>
          <t>2026-08-10</t>
        </is>
      </c>
      <c r="BB7" s="2" t="inlineStr">
        <is>
          <t>ANALYST_SCENARIO</t>
        </is>
      </c>
      <c r="BC7" s="2" t="inlineStr">
        <is>
          <t>Analyst prioritization based on verified HD service; not observed market share.</t>
        </is>
      </c>
    </row>
    <row r="8">
      <c r="A8" s="2" t="inlineStr">
        <is>
          <t>SAU-F007</t>
        </is>
      </c>
      <c r="B8" s="2" t="inlineStr">
        <is>
          <t>Saudi Arabia</t>
        </is>
      </c>
      <c r="C8" s="2" t="inlineStr">
        <is>
          <t>SAU</t>
        </is>
      </c>
      <c r="D8" s="2" t="inlineStr">
        <is>
          <t>King Fahad Center for Kidney, King Saud Medical City</t>
        </is>
      </c>
      <c r="E8" s="2" t="inlineStr">
        <is>
          <t>Specialized_Renal_Center</t>
        </is>
      </c>
      <c r="F8" s="2" t="inlineStr">
        <is>
          <t>Renal/kidney center</t>
        </is>
      </c>
      <c r="G8" s="2" t="inlineStr">
        <is>
          <t>Riyadh</t>
        </is>
      </c>
      <c r="H8" s="2" t="inlineStr">
        <is>
          <t>Riyadh</t>
        </is>
      </c>
      <c r="I8" s="2" t="inlineStr">
        <is>
          <t>Riyadh</t>
        </is>
      </c>
      <c r="J8" s="2" t="inlineStr"/>
      <c r="K8" s="2" t="inlineStr"/>
      <c r="L8" s="2" t="inlineStr"/>
      <c r="M8" s="2" t="inlineStr">
        <is>
          <t>King Fahad Center for Kidney, King Saud Medical City</t>
        </is>
      </c>
      <c r="N8" s="2" t="inlineStr"/>
      <c r="O8" s="2" t="inlineStr">
        <is>
          <t>Government</t>
        </is>
      </c>
      <c r="P8" s="2" t="inlineStr">
        <is>
          <t>Government</t>
        </is>
      </c>
      <c r="Q8" s="2" t="inlineStr">
        <is>
          <t>Yes</t>
        </is>
      </c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n"/>
      <c r="Z8" s="2" t="inlineStr"/>
      <c r="AA8" s="2" t="inlineStr"/>
      <c r="AB8" s="2" t="inlineStr"/>
      <c r="AC8" s="2" t="n"/>
      <c r="AD8" s="2" t="n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>
        <is>
          <t>Unknown</t>
        </is>
      </c>
      <c r="AP8" s="2" t="inlineStr"/>
      <c r="AQ8" s="2" t="inlineStr"/>
      <c r="AR8" s="2" t="inlineStr"/>
      <c r="AS8" s="2" t="inlineStr">
        <is>
          <t>Verified HD facility</t>
        </is>
      </c>
      <c r="AT8" s="2" t="inlineStr">
        <is>
          <t>Tier_1</t>
        </is>
      </c>
      <c r="AU8" s="2" t="inlineStr">
        <is>
          <t>OBSERVED</t>
        </is>
      </c>
      <c r="AV8" s="2" t="inlineStr">
        <is>
          <t>Very High</t>
        </is>
      </c>
      <c r="AW8" s="2" t="inlineStr">
        <is>
          <t>SRC-WEB-002</t>
        </is>
      </c>
      <c r="AX8" s="2" t="inlineStr">
        <is>
          <t>https://www.moh.gov.sa/en/ministry/mediacenter/news/pages/news-2021-03-11-001.aspx</t>
        </is>
      </c>
      <c r="AY8" s="2" t="inlineStr">
        <is>
          <t>MOH reported center capacity increase from 240 to 300 patients in Q4 2020.</t>
        </is>
      </c>
      <c r="AZ8" s="2" t="inlineStr">
        <is>
          <t>SOURCE-VERIFIED HD SERVICE; CURRENT STATUS SHOULD BE RECHECKED WHERE SOURCE IS HISTORICAL</t>
        </is>
      </c>
      <c r="BA8" s="2" t="inlineStr">
        <is>
          <t>2026-08-10</t>
        </is>
      </c>
      <c r="BB8" s="2" t="inlineStr">
        <is>
          <t>ANALYST_SCENARIO</t>
        </is>
      </c>
      <c r="BC8" s="2" t="inlineStr">
        <is>
          <t>Analyst prioritization based on verified HD service; not observed market share.</t>
        </is>
      </c>
    </row>
    <row r="9">
      <c r="A9" s="2" t="inlineStr">
        <is>
          <t>SAU-F008</t>
        </is>
      </c>
      <c r="B9" s="2" t="inlineStr">
        <is>
          <t>Saudi Arabia</t>
        </is>
      </c>
      <c r="C9" s="2" t="inlineStr">
        <is>
          <t>SAU</t>
        </is>
      </c>
      <c r="D9" s="2" t="inlineStr">
        <is>
          <t>King Abdulaziz Kidney Center, King Fahad General Hospital - Madinah</t>
        </is>
      </c>
      <c r="E9" s="2" t="inlineStr">
        <is>
          <t>Specialized_Renal_Center</t>
        </is>
      </c>
      <c r="F9" s="2" t="inlineStr">
        <is>
          <t>Renal/kidney center</t>
        </is>
      </c>
      <c r="G9" s="2" t="inlineStr">
        <is>
          <t>Madinah</t>
        </is>
      </c>
      <c r="H9" s="2" t="inlineStr">
        <is>
          <t>Madinah</t>
        </is>
      </c>
      <c r="I9" s="2" t="inlineStr">
        <is>
          <t>Madinah</t>
        </is>
      </c>
      <c r="J9" s="2" t="inlineStr"/>
      <c r="K9" s="2" t="inlineStr"/>
      <c r="L9" s="2" t="inlineStr"/>
      <c r="M9" s="2" t="inlineStr">
        <is>
          <t>King Abdulaziz Kidney Center, King Fahad General Hospital - Madinah</t>
        </is>
      </c>
      <c r="N9" s="2" t="inlineStr"/>
      <c r="O9" s="2" t="inlineStr">
        <is>
          <t>Government</t>
        </is>
      </c>
      <c r="P9" s="2" t="inlineStr">
        <is>
          <t>Government</t>
        </is>
      </c>
      <c r="Q9" s="2" t="inlineStr">
        <is>
          <t>Yes</t>
        </is>
      </c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n"/>
      <c r="Z9" s="2" t="inlineStr"/>
      <c r="AA9" s="2" t="inlineStr"/>
      <c r="AB9" s="2" t="inlineStr"/>
      <c r="AC9" s="2" t="n"/>
      <c r="AD9" s="2" t="n">
        <v>54288</v>
      </c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/>
      <c r="AO9" s="2" t="inlineStr">
        <is>
          <t>Very_High</t>
        </is>
      </c>
      <c r="AP9" s="2" t="inlineStr"/>
      <c r="AQ9" s="2" t="inlineStr"/>
      <c r="AR9" s="2" t="inlineStr"/>
      <c r="AS9" s="2" t="inlineStr">
        <is>
          <t>Verified HD facility</t>
        </is>
      </c>
      <c r="AT9" s="2" t="inlineStr">
        <is>
          <t>Tier_1</t>
        </is>
      </c>
      <c r="AU9" s="2" t="inlineStr">
        <is>
          <t>OBSERVED</t>
        </is>
      </c>
      <c r="AV9" s="2" t="inlineStr">
        <is>
          <t>Very High</t>
        </is>
      </c>
      <c r="AW9" s="2" t="inlineStr">
        <is>
          <t>SRC-WEB-004</t>
        </is>
      </c>
      <c r="AX9" s="2" t="inlineStr">
        <is>
          <t>https://www.moh.gov.sa/en/ministry/mediacenter/news/pages/news-2018-03-29-004.aspx</t>
        </is>
      </c>
      <c r="AY9" s="2" t="inlineStr">
        <is>
          <t>MOH reported 54,288 dialysis sessions in a year and 95 well-equipped beds; beds are not treated as HD stations.</t>
        </is>
      </c>
      <c r="AZ9" s="2" t="inlineStr">
        <is>
          <t>SOURCE-VERIFIED HD SERVICE; CURRENT STATUS SHOULD BE RECHECKED WHERE SOURCE IS HISTORICAL</t>
        </is>
      </c>
      <c r="BA9" s="2" t="inlineStr">
        <is>
          <t>2026-08-10</t>
        </is>
      </c>
      <c r="BB9" s="2" t="inlineStr">
        <is>
          <t>ANALYST_SCENARIO</t>
        </is>
      </c>
      <c r="BC9" s="2" t="inlineStr">
        <is>
          <t>Analyst prioritization based on verified HD service; not observed market share.</t>
        </is>
      </c>
    </row>
    <row r="10">
      <c r="A10" s="2" t="inlineStr">
        <is>
          <t>SAU-F009</t>
        </is>
      </c>
      <c r="B10" s="2" t="inlineStr">
        <is>
          <t>Saudi Arabia</t>
        </is>
      </c>
      <c r="C10" s="2" t="inlineStr">
        <is>
          <t>SAU</t>
        </is>
      </c>
      <c r="D10" s="2" t="inlineStr">
        <is>
          <t>Al-Dammam Medical Complex</t>
        </is>
      </c>
      <c r="E10" s="2" t="inlineStr">
        <is>
          <t>Hospital_Dialysis_Unit</t>
        </is>
      </c>
      <c r="F10" s="2" t="inlineStr">
        <is>
          <t>Hospital-based HD</t>
        </is>
      </c>
      <c r="G10" s="2" t="inlineStr">
        <is>
          <t>Dammam</t>
        </is>
      </c>
      <c r="H10" s="2" t="inlineStr">
        <is>
          <t>Eastern Province</t>
        </is>
      </c>
      <c r="I10" s="2" t="inlineStr">
        <is>
          <t>Eastern Province</t>
        </is>
      </c>
      <c r="J10" s="2" t="inlineStr"/>
      <c r="K10" s="2" t="inlineStr"/>
      <c r="L10" s="2" t="inlineStr"/>
      <c r="M10" s="2" t="inlineStr"/>
      <c r="N10" s="2" t="inlineStr"/>
      <c r="O10" s="2" t="inlineStr">
        <is>
          <t>Government</t>
        </is>
      </c>
      <c r="P10" s="2" t="inlineStr">
        <is>
          <t>Government</t>
        </is>
      </c>
      <c r="Q10" s="2" t="inlineStr">
        <is>
          <t>Yes</t>
        </is>
      </c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n"/>
      <c r="Z10" s="2" t="inlineStr"/>
      <c r="AA10" s="2" t="inlineStr"/>
      <c r="AB10" s="2" t="inlineStr"/>
      <c r="AC10" s="2" t="n"/>
      <c r="AD10" s="2" t="n">
        <v>31818</v>
      </c>
      <c r="AE10" s="2" t="inlineStr"/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  <c r="AM10" s="2" t="inlineStr"/>
      <c r="AN10" s="2" t="inlineStr"/>
      <c r="AO10" s="2" t="inlineStr">
        <is>
          <t>High</t>
        </is>
      </c>
      <c r="AP10" s="2" t="inlineStr"/>
      <c r="AQ10" s="2" t="inlineStr"/>
      <c r="AR10" s="2" t="inlineStr"/>
      <c r="AS10" s="2" t="inlineStr">
        <is>
          <t>Verified HD facility</t>
        </is>
      </c>
      <c r="AT10" s="2" t="inlineStr">
        <is>
          <t>Tier_1</t>
        </is>
      </c>
      <c r="AU10" s="2" t="inlineStr">
        <is>
          <t>OBSERVED</t>
        </is>
      </c>
      <c r="AV10" s="2" t="inlineStr">
        <is>
          <t>Very High</t>
        </is>
      </c>
      <c r="AW10" s="2" t="inlineStr">
        <is>
          <t>SRC-WEB-005</t>
        </is>
      </c>
      <c r="AX10" s="2" t="inlineStr">
        <is>
          <t>https://www.moh.gov.sa/en/ministry/mediacenter/news/pages/news-2018-01-10-007.aspx</t>
        </is>
      </c>
      <c r="AY10" s="2" t="inlineStr">
        <is>
          <t>MOH reported 31,818 dialysis sessions in 2017.</t>
        </is>
      </c>
      <c r="AZ10" s="2" t="inlineStr">
        <is>
          <t>SOURCE-VERIFIED HD SERVICE; CURRENT STATUS SHOULD BE RECHECKED WHERE SOURCE IS HISTORICAL</t>
        </is>
      </c>
      <c r="BA10" s="2" t="inlineStr">
        <is>
          <t>2026-08-10</t>
        </is>
      </c>
      <c r="BB10" s="2" t="inlineStr">
        <is>
          <t>ANALYST_SCENARIO</t>
        </is>
      </c>
      <c r="BC10" s="2" t="inlineStr">
        <is>
          <t>Analyst prioritization based on verified HD service; not observed market share.</t>
        </is>
      </c>
    </row>
    <row r="11">
      <c r="A11" s="2" t="inlineStr">
        <is>
          <t>SAU-F010</t>
        </is>
      </c>
      <c r="B11" s="2" t="inlineStr">
        <is>
          <t>Saudi Arabia</t>
        </is>
      </c>
      <c r="C11" s="2" t="inlineStr">
        <is>
          <t>SAU</t>
        </is>
      </c>
      <c r="D11" s="2" t="inlineStr">
        <is>
          <t>Al-Qatif Central Hospital</t>
        </is>
      </c>
      <c r="E11" s="2" t="inlineStr">
        <is>
          <t>Hospital_Dialysis_Unit</t>
        </is>
      </c>
      <c r="F11" s="2" t="inlineStr">
        <is>
          <t>Hospital-based HD</t>
        </is>
      </c>
      <c r="G11" s="2" t="inlineStr">
        <is>
          <t>Qatif</t>
        </is>
      </c>
      <c r="H11" s="2" t="inlineStr">
        <is>
          <t>Eastern Province</t>
        </is>
      </c>
      <c r="I11" s="2" t="inlineStr">
        <is>
          <t>Eastern Province</t>
        </is>
      </c>
      <c r="J11" s="2" t="inlineStr"/>
      <c r="K11" s="2" t="inlineStr"/>
      <c r="L11" s="2" t="inlineStr"/>
      <c r="M11" s="2" t="inlineStr"/>
      <c r="N11" s="2" t="inlineStr"/>
      <c r="O11" s="2" t="inlineStr">
        <is>
          <t>Government</t>
        </is>
      </c>
      <c r="P11" s="2" t="inlineStr">
        <is>
          <t>Government</t>
        </is>
      </c>
      <c r="Q11" s="2" t="inlineStr">
        <is>
          <t>Yes</t>
        </is>
      </c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n"/>
      <c r="Z11" s="2" t="inlineStr"/>
      <c r="AA11" s="2" t="inlineStr"/>
      <c r="AB11" s="2" t="inlineStr"/>
      <c r="AC11" s="2" t="n"/>
      <c r="AD11" s="2" t="n">
        <v>821</v>
      </c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>
        <is>
          <t>Unknown</t>
        </is>
      </c>
      <c r="AP11" s="2" t="inlineStr"/>
      <c r="AQ11" s="2" t="inlineStr"/>
      <c r="AR11" s="2" t="inlineStr"/>
      <c r="AS11" s="2" t="inlineStr">
        <is>
          <t>Verified HD facility</t>
        </is>
      </c>
      <c r="AT11" s="2" t="inlineStr">
        <is>
          <t>Tier_2</t>
        </is>
      </c>
      <c r="AU11" s="2" t="inlineStr">
        <is>
          <t>OBSERVED</t>
        </is>
      </c>
      <c r="AV11" s="2" t="inlineStr">
        <is>
          <t>Very High</t>
        </is>
      </c>
      <c r="AW11" s="2" t="inlineStr">
        <is>
          <t>SRC-WEB-005</t>
        </is>
      </c>
      <c r="AX11" s="2" t="inlineStr">
        <is>
          <t>https://www.moh.gov.sa/en/ministry/mediacenter/news/pages/news-2018-01-10-007.aspx</t>
        </is>
      </c>
      <c r="AY11" s="2" t="inlineStr">
        <is>
          <t>MOH reported 821 dialysis sessions in 2017.</t>
        </is>
      </c>
      <c r="AZ11" s="2" t="inlineStr">
        <is>
          <t>SOURCE-VERIFIED HD SERVICE; CURRENT STATUS SHOULD BE RECHECKED WHERE SOURCE IS HISTORICAL</t>
        </is>
      </c>
      <c r="BA11" s="2" t="inlineStr">
        <is>
          <t>2026-08-10</t>
        </is>
      </c>
      <c r="BB11" s="2" t="inlineStr">
        <is>
          <t>ANALYST_SCENARIO</t>
        </is>
      </c>
      <c r="BC11" s="2" t="inlineStr">
        <is>
          <t>Analyst prioritization based on verified HD service; not observed market share.</t>
        </is>
      </c>
    </row>
    <row r="12">
      <c r="A12" s="2" t="inlineStr">
        <is>
          <t>SAU-F011</t>
        </is>
      </c>
      <c r="B12" s="2" t="inlineStr">
        <is>
          <t>Saudi Arabia</t>
        </is>
      </c>
      <c r="C12" s="2" t="inlineStr">
        <is>
          <t>SAU</t>
        </is>
      </c>
      <c r="D12" s="2" t="inlineStr">
        <is>
          <t>Rowaidat Al-Ardh Hospital</t>
        </is>
      </c>
      <c r="E12" s="2" t="inlineStr">
        <is>
          <t>Hospital_Dialysis_Unit</t>
        </is>
      </c>
      <c r="F12" s="2" t="inlineStr">
        <is>
          <t>Hospital-based HD</t>
        </is>
      </c>
      <c r="G12" s="2" t="inlineStr">
        <is>
          <t>Rowaidat Al-Ardh</t>
        </is>
      </c>
      <c r="H12" s="2" t="inlineStr">
        <is>
          <t>Riyadh</t>
        </is>
      </c>
      <c r="I12" s="2" t="inlineStr">
        <is>
          <t>Riyadh</t>
        </is>
      </c>
      <c r="J12" s="2" t="inlineStr"/>
      <c r="K12" s="2" t="inlineStr"/>
      <c r="L12" s="2" t="inlineStr"/>
      <c r="M12" s="2" t="inlineStr"/>
      <c r="N12" s="2" t="inlineStr"/>
      <c r="O12" s="2" t="inlineStr">
        <is>
          <t>Government</t>
        </is>
      </c>
      <c r="P12" s="2" t="inlineStr">
        <is>
          <t>Government</t>
        </is>
      </c>
      <c r="Q12" s="2" t="inlineStr">
        <is>
          <t>Yes</t>
        </is>
      </c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n"/>
      <c r="Z12" s="2" t="inlineStr"/>
      <c r="AA12" s="2" t="inlineStr"/>
      <c r="AB12" s="2" t="inlineStr"/>
      <c r="AC12" s="2" t="n"/>
      <c r="AD12" s="2" t="n">
        <v>1066</v>
      </c>
      <c r="AE12" s="2" t="inlineStr"/>
      <c r="AF12" s="2" t="inlineStr"/>
      <c r="AG12" s="2" t="inlineStr"/>
      <c r="AH12" s="2" t="inlineStr"/>
      <c r="AI12" s="2" t="inlineStr"/>
      <c r="AJ12" s="2" t="inlineStr"/>
      <c r="AK12" s="2" t="inlineStr"/>
      <c r="AL12" s="2" t="inlineStr"/>
      <c r="AM12" s="2" t="inlineStr"/>
      <c r="AN12" s="2" t="inlineStr"/>
      <c r="AO12" s="2" t="inlineStr">
        <is>
          <t>Unknown</t>
        </is>
      </c>
      <c r="AP12" s="2" t="inlineStr"/>
      <c r="AQ12" s="2" t="inlineStr"/>
      <c r="AR12" s="2" t="inlineStr"/>
      <c r="AS12" s="2" t="inlineStr">
        <is>
          <t>Verified HD facility</t>
        </is>
      </c>
      <c r="AT12" s="2" t="inlineStr">
        <is>
          <t>Tier_2</t>
        </is>
      </c>
      <c r="AU12" s="2" t="inlineStr">
        <is>
          <t>OBSERVED</t>
        </is>
      </c>
      <c r="AV12" s="2" t="inlineStr">
        <is>
          <t>Very High</t>
        </is>
      </c>
      <c r="AW12" s="2" t="inlineStr">
        <is>
          <t>SRC-WEB-006</t>
        </is>
      </c>
      <c r="AX12" s="2" t="inlineStr">
        <is>
          <t>https://www.moh.gov.sa/en/ministry/mediacenter/news/pages/news-2018-01-07-0004.aspx</t>
        </is>
      </c>
      <c r="AY12" s="2" t="inlineStr">
        <is>
          <t>MOH reported 1,066 dialysis sessions during first half of 2018.</t>
        </is>
      </c>
      <c r="AZ12" s="2" t="inlineStr">
        <is>
          <t>SOURCE-VERIFIED HD SERVICE; CURRENT STATUS SHOULD BE RECHECKED WHERE SOURCE IS HISTORICAL</t>
        </is>
      </c>
      <c r="BA12" s="2" t="inlineStr">
        <is>
          <t>2026-08-10</t>
        </is>
      </c>
      <c r="BB12" s="2" t="inlineStr">
        <is>
          <t>ANALYST_SCENARIO</t>
        </is>
      </c>
      <c r="BC12" s="2" t="inlineStr">
        <is>
          <t>Analyst prioritization based on verified HD service; not observed market share.</t>
        </is>
      </c>
    </row>
    <row r="13">
      <c r="A13" s="2" t="inlineStr">
        <is>
          <t>SAU-F012</t>
        </is>
      </c>
      <c r="B13" s="2" t="inlineStr">
        <is>
          <t>Saudi Arabia</t>
        </is>
      </c>
      <c r="C13" s="2" t="inlineStr">
        <is>
          <t>SAU</t>
        </is>
      </c>
      <c r="D13" s="2" t="inlineStr">
        <is>
          <t>Al-Rain General Hospital Kidney Center</t>
        </is>
      </c>
      <c r="E13" s="2" t="inlineStr">
        <is>
          <t>Specialized_Renal_Center</t>
        </is>
      </c>
      <c r="F13" s="2" t="inlineStr">
        <is>
          <t>Renal/kidney center</t>
        </is>
      </c>
      <c r="G13" s="2" t="inlineStr">
        <is>
          <t>Al-Rain</t>
        </is>
      </c>
      <c r="H13" s="2" t="inlineStr">
        <is>
          <t>Riyadh</t>
        </is>
      </c>
      <c r="I13" s="2" t="inlineStr">
        <is>
          <t>Riyadh</t>
        </is>
      </c>
      <c r="J13" s="2" t="inlineStr"/>
      <c r="K13" s="2" t="inlineStr"/>
      <c r="L13" s="2" t="inlineStr"/>
      <c r="M13" s="2" t="inlineStr">
        <is>
          <t>Al-Rain General Hospital Kidney Center</t>
        </is>
      </c>
      <c r="N13" s="2" t="inlineStr"/>
      <c r="O13" s="2" t="inlineStr">
        <is>
          <t>Government</t>
        </is>
      </c>
      <c r="P13" s="2" t="inlineStr">
        <is>
          <t>Government</t>
        </is>
      </c>
      <c r="Q13" s="2" t="inlineStr">
        <is>
          <t>Yes</t>
        </is>
      </c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n"/>
      <c r="Z13" s="2" t="inlineStr"/>
      <c r="AA13" s="2" t="inlineStr"/>
      <c r="AB13" s="2" t="inlineStr"/>
      <c r="AC13" s="2" t="n"/>
      <c r="AD13" s="2" t="n"/>
      <c r="AE13" s="2" t="inlineStr"/>
      <c r="AF13" s="2" t="inlineStr"/>
      <c r="AG13" s="2" t="inlineStr"/>
      <c r="AH13" s="2" t="inlineStr"/>
      <c r="AI13" s="2" t="inlineStr"/>
      <c r="AJ13" s="2" t="inlineStr"/>
      <c r="AK13" s="2" t="inlineStr"/>
      <c r="AL13" s="2" t="inlineStr"/>
      <c r="AM13" s="2" t="inlineStr"/>
      <c r="AN13" s="2" t="inlineStr"/>
      <c r="AO13" s="2" t="inlineStr">
        <is>
          <t>Unknown</t>
        </is>
      </c>
      <c r="AP13" s="2" t="inlineStr"/>
      <c r="AQ13" s="2" t="inlineStr"/>
      <c r="AR13" s="2" t="inlineStr"/>
      <c r="AS13" s="2" t="inlineStr">
        <is>
          <t>Verified HD facility</t>
        </is>
      </c>
      <c r="AT13" s="2" t="inlineStr">
        <is>
          <t>Tier_2</t>
        </is>
      </c>
      <c r="AU13" s="2" t="inlineStr">
        <is>
          <t>OBSERVED</t>
        </is>
      </c>
      <c r="AV13" s="2" t="inlineStr">
        <is>
          <t>Very High</t>
        </is>
      </c>
      <c r="AW13" s="2" t="inlineStr">
        <is>
          <t>SRC-WEB-007</t>
        </is>
      </c>
      <c r="AX13" s="2" t="inlineStr">
        <is>
          <t>https://www.moh.gov.sa/en/ministry/mediacenter/news/pages/news-2025-04-13-002.aspx</t>
        </is>
      </c>
      <c r="AY13" s="2" t="inlineStr">
        <is>
          <t>MOH reported kidney center planned/operating to serve 1,680 dialysis sessions annually; source does not specify station count.</t>
        </is>
      </c>
      <c r="AZ13" s="2" t="inlineStr">
        <is>
          <t>SOURCE-VERIFIED HD SERVICE; CURRENT STATUS SHOULD BE RECHECKED WHERE SOURCE IS HISTORICAL</t>
        </is>
      </c>
      <c r="BA13" s="2" t="inlineStr">
        <is>
          <t>2026-08-10</t>
        </is>
      </c>
      <c r="BB13" s="2" t="inlineStr">
        <is>
          <t>ANALYST_SCENARIO</t>
        </is>
      </c>
      <c r="BC13" s="2" t="inlineStr">
        <is>
          <t>Analyst prioritization based on verified HD service; not observed market share.</t>
        </is>
      </c>
    </row>
    <row r="14">
      <c r="A14" s="2" t="inlineStr">
        <is>
          <t>SAU-F013</t>
        </is>
      </c>
      <c r="B14" s="2" t="inlineStr">
        <is>
          <t>Saudi Arabia</t>
        </is>
      </c>
      <c r="C14" s="2" t="inlineStr">
        <is>
          <t>SAU</t>
        </is>
      </c>
      <c r="D14" s="2" t="inlineStr">
        <is>
          <t>Al-Qassim Charitable Complex for Kidney Dialysis and Dentistry</t>
        </is>
      </c>
      <c r="E14" s="2" t="inlineStr">
        <is>
          <t>Specialized_Renal_Center</t>
        </is>
      </c>
      <c r="F14" s="2" t="inlineStr">
        <is>
          <t>Renal/kidney center</t>
        </is>
      </c>
      <c r="G14" s="2" t="inlineStr">
        <is>
          <t>Al-Qassim</t>
        </is>
      </c>
      <c r="H14" s="2" t="inlineStr">
        <is>
          <t>Al-Qassim</t>
        </is>
      </c>
      <c r="I14" s="2" t="inlineStr">
        <is>
          <t>Al-Qassim</t>
        </is>
      </c>
      <c r="J14" s="2" t="inlineStr"/>
      <c r="K14" s="2" t="inlineStr"/>
      <c r="L14" s="2" t="inlineStr"/>
      <c r="M14" s="2" t="inlineStr">
        <is>
          <t>Al-Qassim Charitable Complex for Kidney Dialysis and Dentistry</t>
        </is>
      </c>
      <c r="N14" s="2" t="inlineStr"/>
      <c r="O14" s="2" t="inlineStr">
        <is>
          <t>Charitable</t>
        </is>
      </c>
      <c r="P14" s="2" t="inlineStr">
        <is>
          <t>Unknown</t>
        </is>
      </c>
      <c r="Q14" s="2" t="inlineStr">
        <is>
          <t>Yes</t>
        </is>
      </c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n"/>
      <c r="Z14" s="2" t="inlineStr"/>
      <c r="AA14" s="2" t="inlineStr"/>
      <c r="AB14" s="2" t="inlineStr"/>
      <c r="AC14" s="2" t="n"/>
      <c r="AD14" s="2" t="n"/>
      <c r="AE14" s="2" t="inlineStr"/>
      <c r="AF14" s="2" t="inlineStr"/>
      <c r="AG14" s="2" t="inlineStr"/>
      <c r="AH14" s="2" t="inlineStr"/>
      <c r="AI14" s="2" t="inlineStr"/>
      <c r="AJ14" s="2" t="inlineStr"/>
      <c r="AK14" s="2" t="inlineStr"/>
      <c r="AL14" s="2" t="inlineStr"/>
      <c r="AM14" s="2" t="inlineStr"/>
      <c r="AN14" s="2" t="inlineStr"/>
      <c r="AO14" s="2" t="inlineStr">
        <is>
          <t>Unknown</t>
        </is>
      </c>
      <c r="AP14" s="2" t="inlineStr"/>
      <c r="AQ14" s="2" t="inlineStr"/>
      <c r="AR14" s="2" t="inlineStr"/>
      <c r="AS14" s="2" t="inlineStr">
        <is>
          <t>Verified HD facility</t>
        </is>
      </c>
      <c r="AT14" s="2" t="inlineStr">
        <is>
          <t>Tier_1</t>
        </is>
      </c>
      <c r="AU14" s="2" t="inlineStr">
        <is>
          <t>OBSERVED</t>
        </is>
      </c>
      <c r="AV14" s="2" t="inlineStr">
        <is>
          <t>Very High</t>
        </is>
      </c>
      <c r="AW14" s="2" t="inlineStr">
        <is>
          <t>SRC-WEB-007</t>
        </is>
      </c>
      <c r="AX14" s="2" t="inlineStr">
        <is>
          <t>https://www.moh.gov.sa/en/ministry/mediacenter/news/pages/news-2025-04-13-002.aspx</t>
        </is>
      </c>
      <c r="AY14" s="2" t="inlineStr">
        <is>
          <t>MOH reported kidney dialysis complex with 15 kidney dialysis chairs.</t>
        </is>
      </c>
      <c r="AZ14" s="2" t="inlineStr">
        <is>
          <t>SOURCE-VERIFIED HD SERVICE; CURRENT STATUS SHOULD BE RECHECKED WHERE SOURCE IS HISTORICAL</t>
        </is>
      </c>
      <c r="BA14" s="2" t="inlineStr">
        <is>
          <t>2026-08-10</t>
        </is>
      </c>
      <c r="BB14" s="2" t="inlineStr">
        <is>
          <t>ANALYST_SCENARIO</t>
        </is>
      </c>
      <c r="BC14" s="2" t="inlineStr">
        <is>
          <t>Analyst prioritization based on verified HD service; not observed market share.</t>
        </is>
      </c>
    </row>
    <row r="15">
      <c r="A15" s="2" t="inlineStr">
        <is>
          <t>ARE-F001</t>
        </is>
      </c>
      <c r="B15" s="2" t="inlineStr">
        <is>
          <t>UAE</t>
        </is>
      </c>
      <c r="C15" s="2" t="inlineStr">
        <is>
          <t>ARE</t>
        </is>
      </c>
      <c r="D15" s="2" t="inlineStr">
        <is>
          <t>Merrimac Dialysis Center</t>
        </is>
      </c>
      <c r="E15" s="2" t="inlineStr">
        <is>
          <t>Standalone_Dialysis_Center</t>
        </is>
      </c>
      <c r="F15" s="2" t="inlineStr">
        <is>
          <t>Standalone HD center</t>
        </is>
      </c>
      <c r="G15" s="2" t="inlineStr">
        <is>
          <t>Dubai</t>
        </is>
      </c>
      <c r="H15" s="2" t="inlineStr">
        <is>
          <t>Dubai</t>
        </is>
      </c>
      <c r="I15" s="2" t="inlineStr">
        <is>
          <t>Dubai</t>
        </is>
      </c>
      <c r="J15" s="2" t="inlineStr"/>
      <c r="K15" s="2" t="inlineStr"/>
      <c r="L15" s="2" t="inlineStr"/>
      <c r="M15" s="2" t="inlineStr">
        <is>
          <t>Merrimac Dialysis Center</t>
        </is>
      </c>
      <c r="N15" s="2" t="inlineStr"/>
      <c r="O15" s="2" t="inlineStr">
        <is>
          <t>Unknown</t>
        </is>
      </c>
      <c r="P15" s="2" t="inlineStr">
        <is>
          <t>Unknown</t>
        </is>
      </c>
      <c r="Q15" s="2" t="inlineStr">
        <is>
          <t>Yes</t>
        </is>
      </c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n"/>
      <c r="Z15" s="2" t="inlineStr"/>
      <c r="AA15" s="2" t="inlineStr"/>
      <c r="AB15" s="2" t="inlineStr"/>
      <c r="AC15" s="2" t="n"/>
      <c r="AD15" s="2" t="n"/>
      <c r="AE15" s="2" t="inlineStr"/>
      <c r="AF15" s="2" t="inlineStr"/>
      <c r="AG15" s="2" t="inlineStr"/>
      <c r="AH15" s="2" t="inlineStr"/>
      <c r="AI15" s="2" t="inlineStr"/>
      <c r="AJ15" s="2" t="inlineStr"/>
      <c r="AK15" s="2" t="inlineStr"/>
      <c r="AL15" s="2" t="inlineStr"/>
      <c r="AM15" s="2" t="inlineStr"/>
      <c r="AN15" s="2" t="inlineStr"/>
      <c r="AO15" s="2" t="inlineStr">
        <is>
          <t>High</t>
        </is>
      </c>
      <c r="AP15" s="2" t="inlineStr"/>
      <c r="AQ15" s="2" t="inlineStr"/>
      <c r="AR15" s="2" t="inlineStr"/>
      <c r="AS15" s="2" t="inlineStr">
        <is>
          <t>Verified HD facility</t>
        </is>
      </c>
      <c r="AT15" s="2" t="inlineStr">
        <is>
          <t>Tier_1</t>
        </is>
      </c>
      <c r="AU15" s="2" t="inlineStr">
        <is>
          <t>OBSERVED</t>
        </is>
      </c>
      <c r="AV15" s="2" t="inlineStr">
        <is>
          <t>Very High</t>
        </is>
      </c>
      <c r="AW15" s="2" t="inlineStr">
        <is>
          <t>SRC-WEB-013</t>
        </is>
      </c>
      <c r="AX15" s="2" t="inlineStr">
        <is>
          <t>https://services.dha.gov.ae/sheryan/wps/portal/home/medical-directory/facility-details?facilityId=8049909</t>
        </is>
      </c>
      <c r="AY15" s="2" t="inlineStr">
        <is>
          <t>DHA facility directory explicitly describes high-quality hemodialysis and renal care.</t>
        </is>
      </c>
      <c r="AZ15" s="2" t="inlineStr">
        <is>
          <t>SOURCE-VERIFIED HD SERVICE; CURRENT STATUS SHOULD BE RECHECKED WHERE SOURCE IS HISTORICAL</t>
        </is>
      </c>
      <c r="BA15" s="2" t="inlineStr">
        <is>
          <t>2026-08-10</t>
        </is>
      </c>
      <c r="BB15" s="2" t="inlineStr">
        <is>
          <t>ANALYST_SCENARIO</t>
        </is>
      </c>
      <c r="BC15" s="2" t="inlineStr">
        <is>
          <t>Analyst prioritization based on verified HD service; not observed market share.</t>
        </is>
      </c>
    </row>
    <row r="16">
      <c r="A16" s="2" t="inlineStr">
        <is>
          <t>ARE-F002</t>
        </is>
      </c>
      <c r="B16" s="2" t="inlineStr">
        <is>
          <t>UAE</t>
        </is>
      </c>
      <c r="C16" s="2" t="inlineStr">
        <is>
          <t>ARE</t>
        </is>
      </c>
      <c r="D16" s="2" t="inlineStr">
        <is>
          <t>Canadian Specialist Hospital</t>
        </is>
      </c>
      <c r="E16" s="2" t="inlineStr">
        <is>
          <t>Hospital_Dialysis_Unit</t>
        </is>
      </c>
      <c r="F16" s="2" t="inlineStr">
        <is>
          <t>Hospital-based HD</t>
        </is>
      </c>
      <c r="G16" s="2" t="inlineStr">
        <is>
          <t>Dubai</t>
        </is>
      </c>
      <c r="H16" s="2" t="inlineStr">
        <is>
          <t>Dubai</t>
        </is>
      </c>
      <c r="I16" s="2" t="inlineStr">
        <is>
          <t>Dubai</t>
        </is>
      </c>
      <c r="J16" s="2" t="inlineStr"/>
      <c r="K16" s="2" t="inlineStr"/>
      <c r="L16" s="2" t="inlineStr"/>
      <c r="M16" s="2" t="inlineStr"/>
      <c r="N16" s="2" t="inlineStr"/>
      <c r="O16" s="2" t="inlineStr">
        <is>
          <t>Unknown</t>
        </is>
      </c>
      <c r="P16" s="2" t="inlineStr">
        <is>
          <t>Unknown</t>
        </is>
      </c>
      <c r="Q16" s="2" t="inlineStr">
        <is>
          <t>Yes</t>
        </is>
      </c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n"/>
      <c r="Z16" s="2" t="inlineStr"/>
      <c r="AA16" s="2" t="inlineStr"/>
      <c r="AB16" s="2" t="inlineStr"/>
      <c r="AC16" s="2" t="n"/>
      <c r="AD16" s="2" t="n"/>
      <c r="AE16" s="2" t="inlineStr"/>
      <c r="AF16" s="2" t="inlineStr"/>
      <c r="AG16" s="2" t="inlineStr"/>
      <c r="AH16" s="2" t="inlineStr"/>
      <c r="AI16" s="2" t="inlineStr"/>
      <c r="AJ16" s="2" t="inlineStr"/>
      <c r="AK16" s="2" t="inlineStr"/>
      <c r="AL16" s="2" t="inlineStr"/>
      <c r="AM16" s="2" t="inlineStr"/>
      <c r="AN16" s="2" t="inlineStr"/>
      <c r="AO16" s="2" t="inlineStr">
        <is>
          <t>High</t>
        </is>
      </c>
      <c r="AP16" s="2" t="inlineStr"/>
      <c r="AQ16" s="2" t="inlineStr"/>
      <c r="AR16" s="2" t="inlineStr"/>
      <c r="AS16" s="2" t="inlineStr">
        <is>
          <t>Verified HD facility</t>
        </is>
      </c>
      <c r="AT16" s="2" t="inlineStr">
        <is>
          <t>Tier_2</t>
        </is>
      </c>
      <c r="AU16" s="2" t="inlineStr">
        <is>
          <t>OBSERVED</t>
        </is>
      </c>
      <c r="AV16" s="2" t="inlineStr">
        <is>
          <t>Very High</t>
        </is>
      </c>
      <c r="AW16" s="2" t="inlineStr">
        <is>
          <t>SRC-WEB-014</t>
        </is>
      </c>
      <c r="AX16" s="2" t="inlineStr">
        <is>
          <t>https://services.dha.gov.ae/sheryan/wps/portal/home/medical-directory/facility-details?facilityId=0047278</t>
        </is>
      </c>
      <c r="AY16" s="2" t="inlineStr">
        <is>
          <t>DHA facility directory lists Renal Dialysis as a specialty.</t>
        </is>
      </c>
      <c r="AZ16" s="2" t="inlineStr">
        <is>
          <t>SOURCE-VERIFIED HD SERVICE; CURRENT STATUS SHOULD BE RECHECKED WHERE SOURCE IS HISTORICAL</t>
        </is>
      </c>
      <c r="BA16" s="2" t="inlineStr">
        <is>
          <t>2026-08-10</t>
        </is>
      </c>
      <c r="BB16" s="2" t="inlineStr">
        <is>
          <t>ANALYST_SCENARIO</t>
        </is>
      </c>
      <c r="BC16" s="2" t="inlineStr">
        <is>
          <t>Analyst prioritization based on verified HD service; not observed market share.</t>
        </is>
      </c>
    </row>
    <row r="17">
      <c r="A17" s="2" t="inlineStr">
        <is>
          <t>ARE-F003</t>
        </is>
      </c>
      <c r="B17" s="2" t="inlineStr">
        <is>
          <t>UAE</t>
        </is>
      </c>
      <c r="C17" s="2" t="inlineStr">
        <is>
          <t>ARE</t>
        </is>
      </c>
      <c r="D17" s="2" t="inlineStr">
        <is>
          <t>American Hospital Dubai</t>
        </is>
      </c>
      <c r="E17" s="2" t="inlineStr">
        <is>
          <t>Hospital_Dialysis_Unit</t>
        </is>
      </c>
      <c r="F17" s="2" t="inlineStr">
        <is>
          <t>Hospital-based HD</t>
        </is>
      </c>
      <c r="G17" s="2" t="inlineStr">
        <is>
          <t>Dubai</t>
        </is>
      </c>
      <c r="H17" s="2" t="inlineStr">
        <is>
          <t>Dubai</t>
        </is>
      </c>
      <c r="I17" s="2" t="inlineStr">
        <is>
          <t>Dubai</t>
        </is>
      </c>
      <c r="J17" s="2" t="inlineStr"/>
      <c r="K17" s="2" t="inlineStr"/>
      <c r="L17" s="2" t="inlineStr"/>
      <c r="M17" s="2" t="inlineStr"/>
      <c r="N17" s="2" t="inlineStr"/>
      <c r="O17" s="2" t="inlineStr">
        <is>
          <t>Unknown</t>
        </is>
      </c>
      <c r="P17" s="2" t="inlineStr">
        <is>
          <t>Unknown</t>
        </is>
      </c>
      <c r="Q17" s="2" t="inlineStr">
        <is>
          <t>Yes</t>
        </is>
      </c>
      <c r="R17" s="2" t="inlineStr"/>
      <c r="S17" s="2" t="inlineStr"/>
      <c r="T17" s="2" t="inlineStr"/>
      <c r="U17" s="2" t="inlineStr"/>
      <c r="V17" s="2" t="inlineStr"/>
      <c r="W17" s="2" t="inlineStr"/>
      <c r="X17" s="2" t="inlineStr"/>
      <c r="Y17" s="2" t="n"/>
      <c r="Z17" s="2" t="inlineStr"/>
      <c r="AA17" s="2" t="inlineStr"/>
      <c r="AB17" s="2" t="inlineStr"/>
      <c r="AC17" s="2" t="n"/>
      <c r="AD17" s="2" t="n"/>
      <c r="AE17" s="2" t="inlineStr"/>
      <c r="AF17" s="2" t="inlineStr"/>
      <c r="AG17" s="2" t="inlineStr"/>
      <c r="AH17" s="2" t="inlineStr"/>
      <c r="AI17" s="2" t="inlineStr"/>
      <c r="AJ17" s="2" t="inlineStr"/>
      <c r="AK17" s="2" t="inlineStr"/>
      <c r="AL17" s="2" t="inlineStr"/>
      <c r="AM17" s="2" t="inlineStr"/>
      <c r="AN17" s="2" t="inlineStr"/>
      <c r="AO17" s="2" t="inlineStr">
        <is>
          <t>High</t>
        </is>
      </c>
      <c r="AP17" s="2" t="inlineStr"/>
      <c r="AQ17" s="2" t="inlineStr"/>
      <c r="AR17" s="2" t="inlineStr"/>
      <c r="AS17" s="2" t="inlineStr">
        <is>
          <t>Verified HD facility</t>
        </is>
      </c>
      <c r="AT17" s="2" t="inlineStr">
        <is>
          <t>Tier_2</t>
        </is>
      </c>
      <c r="AU17" s="2" t="inlineStr">
        <is>
          <t>OBSERVED</t>
        </is>
      </c>
      <c r="AV17" s="2" t="inlineStr">
        <is>
          <t>Very High</t>
        </is>
      </c>
      <c r="AW17" s="2" t="inlineStr">
        <is>
          <t>SRC-WEB-015</t>
        </is>
      </c>
      <c r="AX17" s="2" t="inlineStr">
        <is>
          <t>https://services.dha.gov.ae/sheryan/wps/portal/home/medical-directory/facility-details?facilityId=0045621</t>
        </is>
      </c>
      <c r="AY17" s="2" t="inlineStr">
        <is>
          <t>DHA facility directory lists Renal Dialysis as a specialty.</t>
        </is>
      </c>
      <c r="AZ17" s="2" t="inlineStr">
        <is>
          <t>SOURCE-VERIFIED HD SERVICE; CURRENT STATUS SHOULD BE RECHECKED WHERE SOURCE IS HISTORICAL</t>
        </is>
      </c>
      <c r="BA17" s="2" t="inlineStr">
        <is>
          <t>2026-08-10</t>
        </is>
      </c>
      <c r="BB17" s="2" t="inlineStr">
        <is>
          <t>ANALYST_SCENARIO</t>
        </is>
      </c>
      <c r="BC17" s="2" t="inlineStr">
        <is>
          <t>Analyst prioritization based on verified HD service; not observed market share.</t>
        </is>
      </c>
    </row>
    <row r="18">
      <c r="A18" s="2" t="inlineStr">
        <is>
          <t>ARE-F004</t>
        </is>
      </c>
      <c r="B18" s="2" t="inlineStr">
        <is>
          <t>UAE</t>
        </is>
      </c>
      <c r="C18" s="2" t="inlineStr">
        <is>
          <t>ARE</t>
        </is>
      </c>
      <c r="D18" s="2" t="inlineStr">
        <is>
          <t>Zulekha Hospital Dubai</t>
        </is>
      </c>
      <c r="E18" s="2" t="inlineStr">
        <is>
          <t>Hospital_Dialysis_Unit</t>
        </is>
      </c>
      <c r="F18" s="2" t="inlineStr">
        <is>
          <t>Hospital-based HD</t>
        </is>
      </c>
      <c r="G18" s="2" t="inlineStr">
        <is>
          <t>Dubai</t>
        </is>
      </c>
      <c r="H18" s="2" t="inlineStr">
        <is>
          <t>Dubai</t>
        </is>
      </c>
      <c r="I18" s="2" t="inlineStr">
        <is>
          <t>Dubai</t>
        </is>
      </c>
      <c r="J18" s="2" t="inlineStr"/>
      <c r="K18" s="2" t="inlineStr"/>
      <c r="L18" s="2" t="inlineStr"/>
      <c r="M18" s="2" t="inlineStr"/>
      <c r="N18" s="2" t="inlineStr"/>
      <c r="O18" s="2" t="inlineStr">
        <is>
          <t>Unknown</t>
        </is>
      </c>
      <c r="P18" s="2" t="inlineStr">
        <is>
          <t>Unknown</t>
        </is>
      </c>
      <c r="Q18" s="2" t="inlineStr">
        <is>
          <t>Yes</t>
        </is>
      </c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n"/>
      <c r="Z18" s="2" t="inlineStr"/>
      <c r="AA18" s="2" t="inlineStr"/>
      <c r="AB18" s="2" t="inlineStr"/>
      <c r="AC18" s="2" t="n"/>
      <c r="AD18" s="2" t="n"/>
      <c r="AE18" s="2" t="inlineStr"/>
      <c r="AF18" s="2" t="inlineStr"/>
      <c r="AG18" s="2" t="inlineStr"/>
      <c r="AH18" s="2" t="inlineStr"/>
      <c r="AI18" s="2" t="inlineStr"/>
      <c r="AJ18" s="2" t="inlineStr"/>
      <c r="AK18" s="2" t="inlineStr"/>
      <c r="AL18" s="2" t="inlineStr"/>
      <c r="AM18" s="2" t="inlineStr"/>
      <c r="AN18" s="2" t="inlineStr"/>
      <c r="AO18" s="2" t="inlineStr">
        <is>
          <t>High</t>
        </is>
      </c>
      <c r="AP18" s="2" t="inlineStr"/>
      <c r="AQ18" s="2" t="inlineStr"/>
      <c r="AR18" s="2" t="inlineStr"/>
      <c r="AS18" s="2" t="inlineStr">
        <is>
          <t>Verified HD facility</t>
        </is>
      </c>
      <c r="AT18" s="2" t="inlineStr">
        <is>
          <t>Tier_2</t>
        </is>
      </c>
      <c r="AU18" s="2" t="inlineStr">
        <is>
          <t>OBSERVED</t>
        </is>
      </c>
      <c r="AV18" s="2" t="inlineStr">
        <is>
          <t>Very High</t>
        </is>
      </c>
      <c r="AW18" s="2" t="inlineStr">
        <is>
          <t>SRC-WEB-016</t>
        </is>
      </c>
      <c r="AX18" s="2" t="inlineStr">
        <is>
          <t>https://services.dha.gov.ae/sheryan/wps/portal/home/medical-directory/facility-details?facilityId=0002544</t>
        </is>
      </c>
      <c r="AY18" s="2" t="inlineStr">
        <is>
          <t>DHA facility directory lists Renal Dialysis as a specialty.</t>
        </is>
      </c>
      <c r="AZ18" s="2" t="inlineStr">
        <is>
          <t>SOURCE-VERIFIED HD SERVICE; CURRENT STATUS SHOULD BE RECHECKED WHERE SOURCE IS HISTORICAL</t>
        </is>
      </c>
      <c r="BA18" s="2" t="inlineStr">
        <is>
          <t>2026-08-10</t>
        </is>
      </c>
      <c r="BB18" s="2" t="inlineStr">
        <is>
          <t>ANALYST_SCENARIO</t>
        </is>
      </c>
      <c r="BC18" s="2" t="inlineStr">
        <is>
          <t>Analyst prioritization based on verified HD service; not observed market share.</t>
        </is>
      </c>
    </row>
    <row r="19">
      <c r="A19" s="2" t="inlineStr">
        <is>
          <t>ARE-F005</t>
        </is>
      </c>
      <c r="B19" s="2" t="inlineStr">
        <is>
          <t>UAE</t>
        </is>
      </c>
      <c r="C19" s="2" t="inlineStr">
        <is>
          <t>ARE</t>
        </is>
      </c>
      <c r="D19" s="2" t="inlineStr">
        <is>
          <t>Mediclinic Parkview Hospital</t>
        </is>
      </c>
      <c r="E19" s="2" t="inlineStr">
        <is>
          <t>Hospital_Dialysis_Unit</t>
        </is>
      </c>
      <c r="F19" s="2" t="inlineStr">
        <is>
          <t>Hospital-based HD</t>
        </is>
      </c>
      <c r="G19" s="2" t="inlineStr">
        <is>
          <t>Dubai</t>
        </is>
      </c>
      <c r="H19" s="2" t="inlineStr">
        <is>
          <t>Dubai</t>
        </is>
      </c>
      <c r="I19" s="2" t="inlineStr">
        <is>
          <t>Dubai</t>
        </is>
      </c>
      <c r="J19" s="2" t="inlineStr"/>
      <c r="K19" s="2" t="inlineStr"/>
      <c r="L19" s="2" t="inlineStr"/>
      <c r="M19" s="2" t="inlineStr"/>
      <c r="N19" s="2" t="inlineStr"/>
      <c r="O19" s="2" t="inlineStr">
        <is>
          <t>Unknown</t>
        </is>
      </c>
      <c r="P19" s="2" t="inlineStr">
        <is>
          <t>Unknown</t>
        </is>
      </c>
      <c r="Q19" s="2" t="inlineStr">
        <is>
          <t>Yes</t>
        </is>
      </c>
      <c r="R19" s="2" t="inlineStr"/>
      <c r="S19" s="2" t="inlineStr"/>
      <c r="T19" s="2" t="inlineStr"/>
      <c r="U19" s="2" t="inlineStr"/>
      <c r="V19" s="2" t="inlineStr"/>
      <c r="W19" s="2" t="inlineStr"/>
      <c r="X19" s="2" t="inlineStr"/>
      <c r="Y19" s="2" t="n"/>
      <c r="Z19" s="2" t="inlineStr"/>
      <c r="AA19" s="2" t="inlineStr"/>
      <c r="AB19" s="2" t="inlineStr"/>
      <c r="AC19" s="2" t="n"/>
      <c r="AD19" s="2" t="n"/>
      <c r="AE19" s="2" t="inlineStr"/>
      <c r="AF19" s="2" t="inlineStr"/>
      <c r="AG19" s="2" t="inlineStr"/>
      <c r="AH19" s="2" t="inlineStr"/>
      <c r="AI19" s="2" t="inlineStr"/>
      <c r="AJ19" s="2" t="inlineStr"/>
      <c r="AK19" s="2" t="inlineStr"/>
      <c r="AL19" s="2" t="inlineStr"/>
      <c r="AM19" s="2" t="inlineStr"/>
      <c r="AN19" s="2" t="inlineStr"/>
      <c r="AO19" s="2" t="inlineStr">
        <is>
          <t>High</t>
        </is>
      </c>
      <c r="AP19" s="2" t="inlineStr"/>
      <c r="AQ19" s="2" t="inlineStr"/>
      <c r="AR19" s="2" t="inlineStr"/>
      <c r="AS19" s="2" t="inlineStr">
        <is>
          <t>Verified HD facility</t>
        </is>
      </c>
      <c r="AT19" s="2" t="inlineStr">
        <is>
          <t>Tier_2</t>
        </is>
      </c>
      <c r="AU19" s="2" t="inlineStr">
        <is>
          <t>OBSERVED</t>
        </is>
      </c>
      <c r="AV19" s="2" t="inlineStr">
        <is>
          <t>Very High</t>
        </is>
      </c>
      <c r="AW19" s="2" t="inlineStr">
        <is>
          <t>SRC-WEB-017</t>
        </is>
      </c>
      <c r="AX19" s="2" t="inlineStr">
        <is>
          <t>https://services.dha.gov.ae/sheryan/wps/portal/home/medical-directory/facility-details?facilityId=0002476</t>
        </is>
      </c>
      <c r="AY19" s="2" t="inlineStr">
        <is>
          <t>DHA facility directory lists Renal Dialysis as a specialty.</t>
        </is>
      </c>
      <c r="AZ19" s="2" t="inlineStr">
        <is>
          <t>SOURCE-VERIFIED HD SERVICE; CURRENT STATUS SHOULD BE RECHECKED WHERE SOURCE IS HISTORICAL</t>
        </is>
      </c>
      <c r="BA19" s="2" t="inlineStr">
        <is>
          <t>2026-08-10</t>
        </is>
      </c>
      <c r="BB19" s="2" t="inlineStr">
        <is>
          <t>ANALYST_SCENARIO</t>
        </is>
      </c>
      <c r="BC19" s="2" t="inlineStr">
        <is>
          <t>Analyst prioritization based on verified HD service; not observed market share.</t>
        </is>
      </c>
    </row>
    <row r="20">
      <c r="A20" s="2" t="inlineStr">
        <is>
          <t>ARE-F006</t>
        </is>
      </c>
      <c r="B20" s="2" t="inlineStr">
        <is>
          <t>UAE</t>
        </is>
      </c>
      <c r="C20" s="2" t="inlineStr">
        <is>
          <t>ARE</t>
        </is>
      </c>
      <c r="D20" s="2" t="inlineStr">
        <is>
          <t>NMC Specialty Hospital Al Nadha</t>
        </is>
      </c>
      <c r="E20" s="2" t="inlineStr">
        <is>
          <t>Hospital_Dialysis_Unit</t>
        </is>
      </c>
      <c r="F20" s="2" t="inlineStr">
        <is>
          <t>Hospital-based HD</t>
        </is>
      </c>
      <c r="G20" s="2" t="inlineStr">
        <is>
          <t>Dubai</t>
        </is>
      </c>
      <c r="H20" s="2" t="inlineStr">
        <is>
          <t>Dubai</t>
        </is>
      </c>
      <c r="I20" s="2" t="inlineStr">
        <is>
          <t>Dubai</t>
        </is>
      </c>
      <c r="J20" s="2" t="inlineStr"/>
      <c r="K20" s="2" t="inlineStr"/>
      <c r="L20" s="2" t="inlineStr"/>
      <c r="M20" s="2" t="inlineStr"/>
      <c r="N20" s="2" t="inlineStr"/>
      <c r="O20" s="2" t="inlineStr">
        <is>
          <t>Unknown</t>
        </is>
      </c>
      <c r="P20" s="2" t="inlineStr">
        <is>
          <t>Unknown</t>
        </is>
      </c>
      <c r="Q20" s="2" t="inlineStr">
        <is>
          <t>Yes</t>
        </is>
      </c>
      <c r="R20" s="2" t="inlineStr"/>
      <c r="S20" s="2" t="inlineStr"/>
      <c r="T20" s="2" t="inlineStr"/>
      <c r="U20" s="2" t="inlineStr"/>
      <c r="V20" s="2" t="inlineStr"/>
      <c r="W20" s="2" t="inlineStr"/>
      <c r="X20" s="2" t="inlineStr"/>
      <c r="Y20" s="2" t="n"/>
      <c r="Z20" s="2" t="inlineStr"/>
      <c r="AA20" s="2" t="inlineStr"/>
      <c r="AB20" s="2" t="inlineStr"/>
      <c r="AC20" s="2" t="n"/>
      <c r="AD20" s="2" t="n"/>
      <c r="AE20" s="2" t="inlineStr"/>
      <c r="AF20" s="2" t="inlineStr"/>
      <c r="AG20" s="2" t="inlineStr"/>
      <c r="AH20" s="2" t="inlineStr"/>
      <c r="AI20" s="2" t="inlineStr"/>
      <c r="AJ20" s="2" t="inlineStr"/>
      <c r="AK20" s="2" t="inlineStr"/>
      <c r="AL20" s="2" t="inlineStr"/>
      <c r="AM20" s="2" t="inlineStr"/>
      <c r="AN20" s="2" t="inlineStr"/>
      <c r="AO20" s="2" t="inlineStr">
        <is>
          <t>High</t>
        </is>
      </c>
      <c r="AP20" s="2" t="inlineStr"/>
      <c r="AQ20" s="2" t="inlineStr"/>
      <c r="AR20" s="2" t="inlineStr"/>
      <c r="AS20" s="2" t="inlineStr">
        <is>
          <t>Verified HD facility</t>
        </is>
      </c>
      <c r="AT20" s="2" t="inlineStr">
        <is>
          <t>Tier_2</t>
        </is>
      </c>
      <c r="AU20" s="2" t="inlineStr">
        <is>
          <t>OBSERVED</t>
        </is>
      </c>
      <c r="AV20" s="2" t="inlineStr">
        <is>
          <t>Very High</t>
        </is>
      </c>
      <c r="AW20" s="2" t="inlineStr">
        <is>
          <t>SRC-WEB-018</t>
        </is>
      </c>
      <c r="AX20" s="2" t="inlineStr">
        <is>
          <t>https://services.dha.gov.ae/sheryan/wps/portal/home/medical-directory/facility-details?facilityId=0046789</t>
        </is>
      </c>
      <c r="AY20" s="2" t="inlineStr">
        <is>
          <t>DHA facility directory lists Renal Dialysis as a specialty.</t>
        </is>
      </c>
      <c r="AZ20" s="2" t="inlineStr">
        <is>
          <t>SOURCE-VERIFIED HD SERVICE; CURRENT STATUS SHOULD BE RECHECKED WHERE SOURCE IS HISTORICAL</t>
        </is>
      </c>
      <c r="BA20" s="2" t="inlineStr">
        <is>
          <t>2026-08-10</t>
        </is>
      </c>
      <c r="BB20" s="2" t="inlineStr">
        <is>
          <t>ANALYST_SCENARIO</t>
        </is>
      </c>
      <c r="BC20" s="2" t="inlineStr">
        <is>
          <t>Analyst prioritization based on verified HD service; not observed market share.</t>
        </is>
      </c>
    </row>
    <row r="21">
      <c r="A21" s="2" t="inlineStr">
        <is>
          <t>ARE-F007</t>
        </is>
      </c>
      <c r="B21" s="2" t="inlineStr">
        <is>
          <t>UAE</t>
        </is>
      </c>
      <c r="C21" s="2" t="inlineStr">
        <is>
          <t>ARE</t>
        </is>
      </c>
      <c r="D21" s="2" t="inlineStr">
        <is>
          <t>Al Mazroui Medical Center</t>
        </is>
      </c>
      <c r="E21" s="2" t="inlineStr">
        <is>
          <t>Hospital_Dialysis_Unit</t>
        </is>
      </c>
      <c r="F21" s="2" t="inlineStr">
        <is>
          <t>Hospital-based HD</t>
        </is>
      </c>
      <c r="G21" s="2" t="inlineStr">
        <is>
          <t>Abu Dhabi</t>
        </is>
      </c>
      <c r="H21" s="2" t="inlineStr">
        <is>
          <t>Abu Dhabi</t>
        </is>
      </c>
      <c r="I21" s="2" t="inlineStr">
        <is>
          <t>Abu Dhabi</t>
        </is>
      </c>
      <c r="J21" s="2" t="inlineStr"/>
      <c r="K21" s="2" t="inlineStr"/>
      <c r="L21" s="2" t="inlineStr"/>
      <c r="M21" s="2" t="inlineStr"/>
      <c r="N21" s="2" t="inlineStr"/>
      <c r="O21" s="2" t="inlineStr">
        <is>
          <t>Unknown</t>
        </is>
      </c>
      <c r="P21" s="2" t="inlineStr">
        <is>
          <t>Unknown</t>
        </is>
      </c>
      <c r="Q21" s="2" t="inlineStr">
        <is>
          <t>Yes</t>
        </is>
      </c>
      <c r="R21" s="2" t="inlineStr"/>
      <c r="S21" s="2" t="inlineStr"/>
      <c r="T21" s="2" t="inlineStr"/>
      <c r="U21" s="2" t="inlineStr"/>
      <c r="V21" s="2" t="inlineStr"/>
      <c r="W21" s="2" t="inlineStr"/>
      <c r="X21" s="2" t="inlineStr"/>
      <c r="Y21" s="2" t="n"/>
      <c r="Z21" s="2" t="inlineStr"/>
      <c r="AA21" s="2" t="inlineStr"/>
      <c r="AB21" s="2" t="inlineStr"/>
      <c r="AC21" s="2" t="n"/>
      <c r="AD21" s="2" t="n"/>
      <c r="AE21" s="2" t="inlineStr"/>
      <c r="AF21" s="2" t="inlineStr"/>
      <c r="AG21" s="2" t="inlineStr"/>
      <c r="AH21" s="2" t="inlineStr"/>
      <c r="AI21" s="2" t="inlineStr"/>
      <c r="AJ21" s="2" t="inlineStr"/>
      <c r="AK21" s="2" t="inlineStr"/>
      <c r="AL21" s="2" t="inlineStr"/>
      <c r="AM21" s="2" t="inlineStr"/>
      <c r="AN21" s="2" t="inlineStr"/>
      <c r="AO21" s="2" t="inlineStr">
        <is>
          <t>Medium</t>
        </is>
      </c>
      <c r="AP21" s="2" t="inlineStr"/>
      <c r="AQ21" s="2" t="inlineStr"/>
      <c r="AR21" s="2" t="inlineStr"/>
      <c r="AS21" s="2" t="inlineStr">
        <is>
          <t>Verified HD facility</t>
        </is>
      </c>
      <c r="AT21" s="2" t="inlineStr">
        <is>
          <t>Tier_2</t>
        </is>
      </c>
      <c r="AU21" s="2" t="inlineStr">
        <is>
          <t>OBSERVED</t>
        </is>
      </c>
      <c r="AV21" s="2" t="inlineStr">
        <is>
          <t>Very High</t>
        </is>
      </c>
      <c r="AW21" s="2" t="inlineStr">
        <is>
          <t>SRC-WEB-020</t>
        </is>
      </c>
      <c r="AX21" s="2" t="inlineStr">
        <is>
          <t>https://pmc.ncbi.nlm.nih.gov/articles/PMC8570984/</t>
        </is>
      </c>
      <c r="AY21" s="2" t="inlineStr">
        <is>
          <t>Peer-reviewed UAE home-HD study identifies nephrology &amp; dialysis service at Al Mazroui Medical Center.</t>
        </is>
      </c>
      <c r="AZ21" s="2" t="inlineStr">
        <is>
          <t>SOURCE-VERIFIED HD SERVICE; CURRENT STATUS SHOULD BE RECHECKED WHERE SOURCE IS HISTORICAL</t>
        </is>
      </c>
      <c r="BA21" s="2" t="inlineStr">
        <is>
          <t>2026-08-10</t>
        </is>
      </c>
      <c r="BB21" s="2" t="inlineStr">
        <is>
          <t>ANALYST_SCENARIO</t>
        </is>
      </c>
      <c r="BC21" s="2" t="inlineStr">
        <is>
          <t>Analyst prioritization based on verified HD service; not observed market share.</t>
        </is>
      </c>
    </row>
    <row r="22">
      <c r="A22" s="2" t="inlineStr">
        <is>
          <t>ARE-F008</t>
        </is>
      </c>
      <c r="B22" s="2" t="inlineStr">
        <is>
          <t>UAE</t>
        </is>
      </c>
      <c r="C22" s="2" t="inlineStr">
        <is>
          <t>ARE</t>
        </is>
      </c>
      <c r="D22" s="2" t="inlineStr">
        <is>
          <t>Nephro Care Home Hemodialysis</t>
        </is>
      </c>
      <c r="E22" s="2" t="inlineStr">
        <is>
          <t>Other</t>
        </is>
      </c>
      <c r="F22" s="2" t="inlineStr">
        <is>
          <t>Other HD service</t>
        </is>
      </c>
      <c r="G22" s="2" t="inlineStr">
        <is>
          <t>Abu Dhabi</t>
        </is>
      </c>
      <c r="H22" s="2" t="inlineStr">
        <is>
          <t>Abu Dhabi</t>
        </is>
      </c>
      <c r="I22" s="2" t="inlineStr">
        <is>
          <t>Abu Dhabi</t>
        </is>
      </c>
      <c r="J22" s="2" t="inlineStr"/>
      <c r="K22" s="2" t="inlineStr"/>
      <c r="L22" s="2" t="inlineStr"/>
      <c r="M22" s="2" t="inlineStr"/>
      <c r="N22" s="2" t="inlineStr"/>
      <c r="O22" s="2" t="inlineStr">
        <is>
          <t>Unknown</t>
        </is>
      </c>
      <c r="P22" s="2" t="inlineStr">
        <is>
          <t>Unknown</t>
        </is>
      </c>
      <c r="Q22" s="2" t="inlineStr">
        <is>
          <t>Yes</t>
        </is>
      </c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n"/>
      <c r="Z22" s="2" t="inlineStr"/>
      <c r="AA22" s="2" t="inlineStr"/>
      <c r="AB22" s="2" t="inlineStr"/>
      <c r="AC22" s="2" t="n"/>
      <c r="AD22" s="2" t="n"/>
      <c r="AE22" s="2" t="inlineStr"/>
      <c r="AF22" s="2" t="inlineStr"/>
      <c r="AG22" s="2" t="inlineStr"/>
      <c r="AH22" s="2" t="inlineStr"/>
      <c r="AI22" s="2" t="inlineStr"/>
      <c r="AJ22" s="2" t="inlineStr"/>
      <c r="AK22" s="2" t="inlineStr"/>
      <c r="AL22" s="2" t="inlineStr"/>
      <c r="AM22" s="2" t="inlineStr"/>
      <c r="AN22" s="2" t="inlineStr"/>
      <c r="AO22" s="2" t="inlineStr">
        <is>
          <t>High</t>
        </is>
      </c>
      <c r="AP22" s="2" t="inlineStr"/>
      <c r="AQ22" s="2" t="inlineStr"/>
      <c r="AR22" s="2" t="inlineStr"/>
      <c r="AS22" s="2" t="inlineStr">
        <is>
          <t>Verified HD facility</t>
        </is>
      </c>
      <c r="AT22" s="2" t="inlineStr">
        <is>
          <t>Tier_2</t>
        </is>
      </c>
      <c r="AU22" s="2" t="inlineStr">
        <is>
          <t>OBSERVED</t>
        </is>
      </c>
      <c r="AV22" s="2" t="inlineStr">
        <is>
          <t>Very High</t>
        </is>
      </c>
      <c r="AW22" s="2" t="inlineStr">
        <is>
          <t>SRC-WEB-020</t>
        </is>
      </c>
      <c r="AX22" s="2" t="inlineStr">
        <is>
          <t>https://pmc.ncbi.nlm.nih.gov/articles/PMC8570984/</t>
        </is>
      </c>
      <c r="AY22" s="2" t="inlineStr">
        <is>
          <t>Peer-reviewed UAE study identifies Nephro Care Home Hemodialysis in Abu Dhabi; service model is home HD.</t>
        </is>
      </c>
      <c r="AZ22" s="2" t="inlineStr">
        <is>
          <t>SOURCE-VERIFIED HD SERVICE; CURRENT STATUS SHOULD BE RECHECKED WHERE SOURCE IS HISTORICAL</t>
        </is>
      </c>
      <c r="BA22" s="2" t="inlineStr">
        <is>
          <t>2026-08-10</t>
        </is>
      </c>
      <c r="BB22" s="2" t="inlineStr">
        <is>
          <t>ANALYST_SCENARIO</t>
        </is>
      </c>
      <c r="BC22" s="2" t="inlineStr">
        <is>
          <t>Analyst prioritization based on verified HD service; not observed market share.</t>
        </is>
      </c>
    </row>
    <row r="23">
      <c r="A23" s="2" t="inlineStr">
        <is>
          <t>ARE-F009</t>
        </is>
      </c>
      <c r="B23" s="2" t="inlineStr">
        <is>
          <t>UAE</t>
        </is>
      </c>
      <c r="C23" s="2" t="inlineStr">
        <is>
          <t>ARE</t>
        </is>
      </c>
      <c r="D23" s="2" t="inlineStr">
        <is>
          <t>SEHA Dialysis Services - Al Mafraq Hospital</t>
        </is>
      </c>
      <c r="E23" s="2" t="inlineStr">
        <is>
          <t>Hospital_Dialysis_Unit</t>
        </is>
      </c>
      <c r="F23" s="2" t="inlineStr">
        <is>
          <t>Hospital-based HD</t>
        </is>
      </c>
      <c r="G23" s="2" t="inlineStr">
        <is>
          <t>Abu Dhabi</t>
        </is>
      </c>
      <c r="H23" s="2" t="inlineStr">
        <is>
          <t>Abu Dhabi</t>
        </is>
      </c>
      <c r="I23" s="2" t="inlineStr">
        <is>
          <t>Abu Dhabi</t>
        </is>
      </c>
      <c r="J23" s="2" t="inlineStr"/>
      <c r="K23" s="2" t="inlineStr"/>
      <c r="L23" s="2" t="inlineStr"/>
      <c r="M23" s="2" t="inlineStr"/>
      <c r="N23" s="2" t="inlineStr"/>
      <c r="O23" s="2" t="inlineStr">
        <is>
          <t>Government</t>
        </is>
      </c>
      <c r="P23" s="2" t="inlineStr">
        <is>
          <t>Government</t>
        </is>
      </c>
      <c r="Q23" s="2" t="inlineStr">
        <is>
          <t>Yes</t>
        </is>
      </c>
      <c r="R23" s="2" t="inlineStr"/>
      <c r="S23" s="2" t="inlineStr"/>
      <c r="T23" s="2" t="inlineStr"/>
      <c r="U23" s="2" t="inlineStr"/>
      <c r="V23" s="2" t="inlineStr"/>
      <c r="W23" s="2" t="inlineStr"/>
      <c r="X23" s="2" t="inlineStr"/>
      <c r="Y23" s="2" t="n"/>
      <c r="Z23" s="2" t="inlineStr"/>
      <c r="AA23" s="2" t="inlineStr"/>
      <c r="AB23" s="2" t="inlineStr"/>
      <c r="AC23" s="2" t="n"/>
      <c r="AD23" s="2" t="n"/>
      <c r="AE23" s="2" t="inlineStr"/>
      <c r="AF23" s="2" t="inlineStr"/>
      <c r="AG23" s="2" t="inlineStr"/>
      <c r="AH23" s="2" t="inlineStr"/>
      <c r="AI23" s="2" t="inlineStr"/>
      <c r="AJ23" s="2" t="inlineStr"/>
      <c r="AK23" s="2" t="inlineStr"/>
      <c r="AL23" s="2" t="inlineStr"/>
      <c r="AM23" s="2" t="inlineStr"/>
      <c r="AN23" s="2" t="inlineStr"/>
      <c r="AO23" s="2" t="inlineStr">
        <is>
          <t>High</t>
        </is>
      </c>
      <c r="AP23" s="2" t="inlineStr"/>
      <c r="AQ23" s="2" t="inlineStr"/>
      <c r="AR23" s="2" t="inlineStr"/>
      <c r="AS23" s="2" t="inlineStr">
        <is>
          <t>Verified HD facility</t>
        </is>
      </c>
      <c r="AT23" s="2" t="inlineStr">
        <is>
          <t>Tier_1</t>
        </is>
      </c>
      <c r="AU23" s="2" t="inlineStr">
        <is>
          <t>OBSERVED</t>
        </is>
      </c>
      <c r="AV23" s="2" t="inlineStr">
        <is>
          <t>Very High</t>
        </is>
      </c>
      <c r="AW23" s="2" t="inlineStr">
        <is>
          <t>SRC-WEB-012</t>
        </is>
      </c>
      <c r="AX23" s="2" t="inlineStr">
        <is>
          <t>https://www.doh.gov.ae/en/research/authorized-research-institutes-and-cros</t>
        </is>
      </c>
      <c r="AY23" s="2" t="inlineStr">
        <is>
          <t>Abu Dhabi DoH list explicitly names SEHA Dialysis Services at Al Mafraq Hospital.</t>
        </is>
      </c>
      <c r="AZ23" s="2" t="inlineStr">
        <is>
          <t>SOURCE-VERIFIED HD SERVICE; CURRENT STATUS SHOULD BE RECHECKED WHERE SOURCE IS HISTORICAL</t>
        </is>
      </c>
      <c r="BA23" s="2" t="inlineStr">
        <is>
          <t>2026-08-10</t>
        </is>
      </c>
      <c r="BB23" s="2" t="inlineStr">
        <is>
          <t>ANALYST_SCENARIO</t>
        </is>
      </c>
      <c r="BC23" s="2" t="inlineStr">
        <is>
          <t>Analyst prioritization based on verified HD service; not observed market share.</t>
        </is>
      </c>
    </row>
    <row r="24">
      <c r="A24" s="2" t="inlineStr">
        <is>
          <t>ARE-F010</t>
        </is>
      </c>
      <c r="B24" s="2" t="inlineStr">
        <is>
          <t>UAE</t>
        </is>
      </c>
      <c r="C24" s="2" t="inlineStr">
        <is>
          <t>ARE</t>
        </is>
      </c>
      <c r="D24" s="2" t="inlineStr">
        <is>
          <t>SEHA Dialysis Services - Sheikh Khalifa Medical City</t>
        </is>
      </c>
      <c r="E24" s="2" t="inlineStr">
        <is>
          <t>Hospital_Dialysis_Unit</t>
        </is>
      </c>
      <c r="F24" s="2" t="inlineStr">
        <is>
          <t>Hospital-based HD</t>
        </is>
      </c>
      <c r="G24" s="2" t="inlineStr">
        <is>
          <t>Abu Dhabi</t>
        </is>
      </c>
      <c r="H24" s="2" t="inlineStr">
        <is>
          <t>Abu Dhabi</t>
        </is>
      </c>
      <c r="I24" s="2" t="inlineStr">
        <is>
          <t>Abu Dhabi</t>
        </is>
      </c>
      <c r="J24" s="2" t="inlineStr"/>
      <c r="K24" s="2" t="inlineStr"/>
      <c r="L24" s="2" t="inlineStr"/>
      <c r="M24" s="2" t="inlineStr"/>
      <c r="N24" s="2" t="inlineStr"/>
      <c r="O24" s="2" t="inlineStr">
        <is>
          <t>Government</t>
        </is>
      </c>
      <c r="P24" s="2" t="inlineStr">
        <is>
          <t>Government</t>
        </is>
      </c>
      <c r="Q24" s="2" t="inlineStr">
        <is>
          <t>Yes</t>
        </is>
      </c>
      <c r="R24" s="2" t="inlineStr"/>
      <c r="S24" s="2" t="inlineStr"/>
      <c r="T24" s="2" t="inlineStr"/>
      <c r="U24" s="2" t="inlineStr"/>
      <c r="V24" s="2" t="inlineStr"/>
      <c r="W24" s="2" t="inlineStr"/>
      <c r="X24" s="2" t="inlineStr"/>
      <c r="Y24" s="2" t="n"/>
      <c r="Z24" s="2" t="inlineStr"/>
      <c r="AA24" s="2" t="inlineStr"/>
      <c r="AB24" s="2" t="inlineStr"/>
      <c r="AC24" s="2" t="n"/>
      <c r="AD24" s="2" t="n"/>
      <c r="AE24" s="2" t="inlineStr"/>
      <c r="AF24" s="2" t="inlineStr"/>
      <c r="AG24" s="2" t="inlineStr"/>
      <c r="AH24" s="2" t="inlineStr"/>
      <c r="AI24" s="2" t="inlineStr"/>
      <c r="AJ24" s="2" t="inlineStr"/>
      <c r="AK24" s="2" t="inlineStr"/>
      <c r="AL24" s="2" t="inlineStr"/>
      <c r="AM24" s="2" t="inlineStr"/>
      <c r="AN24" s="2" t="inlineStr"/>
      <c r="AO24" s="2" t="inlineStr">
        <is>
          <t>High</t>
        </is>
      </c>
      <c r="AP24" s="2" t="inlineStr"/>
      <c r="AQ24" s="2" t="inlineStr"/>
      <c r="AR24" s="2" t="inlineStr"/>
      <c r="AS24" s="2" t="inlineStr">
        <is>
          <t>Verified HD facility</t>
        </is>
      </c>
      <c r="AT24" s="2" t="inlineStr">
        <is>
          <t>Tier_1</t>
        </is>
      </c>
      <c r="AU24" s="2" t="inlineStr">
        <is>
          <t>OBSERVED</t>
        </is>
      </c>
      <c r="AV24" s="2" t="inlineStr">
        <is>
          <t>Very High</t>
        </is>
      </c>
      <c r="AW24" s="2" t="inlineStr">
        <is>
          <t>SRC-WEB-012</t>
        </is>
      </c>
      <c r="AX24" s="2" t="inlineStr">
        <is>
          <t>https://www.doh.gov.ae/en/research/authorized-research-institutes-and-cros</t>
        </is>
      </c>
      <c r="AY24" s="2" t="inlineStr">
        <is>
          <t>Abu Dhabi DoH list explicitly names SEHA Dialysis Services at Sheikh Khalifa Medical City.</t>
        </is>
      </c>
      <c r="AZ24" s="2" t="inlineStr">
        <is>
          <t>SOURCE-VERIFIED HD SERVICE; CURRENT STATUS SHOULD BE RECHECKED WHERE SOURCE IS HISTORICAL</t>
        </is>
      </c>
      <c r="BA24" s="2" t="inlineStr">
        <is>
          <t>2026-08-10</t>
        </is>
      </c>
      <c r="BB24" s="2" t="inlineStr">
        <is>
          <t>ANALYST_SCENARIO</t>
        </is>
      </c>
      <c r="BC24" s="2" t="inlineStr">
        <is>
          <t>Analyst prioritization based on verified HD service; not observed market share.</t>
        </is>
      </c>
    </row>
    <row r="25">
      <c r="A25" s="2" t="inlineStr">
        <is>
          <t>ARE-F011</t>
        </is>
      </c>
      <c r="B25" s="2" t="inlineStr">
        <is>
          <t>UAE</t>
        </is>
      </c>
      <c r="C25" s="2" t="inlineStr">
        <is>
          <t>ARE</t>
        </is>
      </c>
      <c r="D25" s="2" t="inlineStr">
        <is>
          <t>SEHA Dialysis Services - Tawam Hospital</t>
        </is>
      </c>
      <c r="E25" s="2" t="inlineStr">
        <is>
          <t>Hospital_Dialysis_Unit</t>
        </is>
      </c>
      <c r="F25" s="2" t="inlineStr">
        <is>
          <t>Hospital-based HD</t>
        </is>
      </c>
      <c r="G25" s="2" t="inlineStr">
        <is>
          <t>Al Ain</t>
        </is>
      </c>
      <c r="H25" s="2" t="inlineStr">
        <is>
          <t>Abu Dhabi Emirate</t>
        </is>
      </c>
      <c r="I25" s="2" t="inlineStr">
        <is>
          <t>Abu Dhabi Emirate</t>
        </is>
      </c>
      <c r="J25" s="2" t="inlineStr"/>
      <c r="K25" s="2" t="inlineStr"/>
      <c r="L25" s="2" t="inlineStr"/>
      <c r="M25" s="2" t="inlineStr"/>
      <c r="N25" s="2" t="inlineStr"/>
      <c r="O25" s="2" t="inlineStr">
        <is>
          <t>Government</t>
        </is>
      </c>
      <c r="P25" s="2" t="inlineStr">
        <is>
          <t>Government</t>
        </is>
      </c>
      <c r="Q25" s="2" t="inlineStr">
        <is>
          <t>Yes</t>
        </is>
      </c>
      <c r="R25" s="2" t="inlineStr"/>
      <c r="S25" s="2" t="inlineStr"/>
      <c r="T25" s="2" t="inlineStr"/>
      <c r="U25" s="2" t="inlineStr"/>
      <c r="V25" s="2" t="inlineStr"/>
      <c r="W25" s="2" t="inlineStr"/>
      <c r="X25" s="2" t="inlineStr"/>
      <c r="Y25" s="2" t="n"/>
      <c r="Z25" s="2" t="inlineStr"/>
      <c r="AA25" s="2" t="inlineStr"/>
      <c r="AB25" s="2" t="inlineStr"/>
      <c r="AC25" s="2" t="n"/>
      <c r="AD25" s="2" t="n"/>
      <c r="AE25" s="2" t="inlineStr"/>
      <c r="AF25" s="2" t="inlineStr"/>
      <c r="AG25" s="2" t="inlineStr"/>
      <c r="AH25" s="2" t="inlineStr"/>
      <c r="AI25" s="2" t="inlineStr"/>
      <c r="AJ25" s="2" t="inlineStr"/>
      <c r="AK25" s="2" t="inlineStr"/>
      <c r="AL25" s="2" t="inlineStr"/>
      <c r="AM25" s="2" t="inlineStr"/>
      <c r="AN25" s="2" t="inlineStr"/>
      <c r="AO25" s="2" t="inlineStr">
        <is>
          <t>High</t>
        </is>
      </c>
      <c r="AP25" s="2" t="inlineStr"/>
      <c r="AQ25" s="2" t="inlineStr"/>
      <c r="AR25" s="2" t="inlineStr"/>
      <c r="AS25" s="2" t="inlineStr">
        <is>
          <t>Verified HD facility</t>
        </is>
      </c>
      <c r="AT25" s="2" t="inlineStr">
        <is>
          <t>Tier_1</t>
        </is>
      </c>
      <c r="AU25" s="2" t="inlineStr">
        <is>
          <t>OBSERVED</t>
        </is>
      </c>
      <c r="AV25" s="2" t="inlineStr">
        <is>
          <t>Very High</t>
        </is>
      </c>
      <c r="AW25" s="2" t="inlineStr">
        <is>
          <t>SRC-WEB-012</t>
        </is>
      </c>
      <c r="AX25" s="2" t="inlineStr">
        <is>
          <t>https://www.doh.gov.ae/en/research/authorized-research-institutes-and-cros</t>
        </is>
      </c>
      <c r="AY25" s="2" t="inlineStr">
        <is>
          <t>Abu Dhabi DoH list explicitly names SEHA Dialysis Services at Tawam Hospital.</t>
        </is>
      </c>
      <c r="AZ25" s="2" t="inlineStr">
        <is>
          <t>SOURCE-VERIFIED HD SERVICE; CURRENT STATUS SHOULD BE RECHECKED WHERE SOURCE IS HISTORICAL</t>
        </is>
      </c>
      <c r="BA25" s="2" t="inlineStr">
        <is>
          <t>2026-08-10</t>
        </is>
      </c>
      <c r="BB25" s="2" t="inlineStr">
        <is>
          <t>ANALYST_SCENARIO</t>
        </is>
      </c>
      <c r="BC25" s="2" t="inlineStr">
        <is>
          <t>Analyst prioritization based on verified HD service; not observed market share.</t>
        </is>
      </c>
    </row>
    <row r="26">
      <c r="A26" s="2" t="inlineStr">
        <is>
          <t>ARE-F012</t>
        </is>
      </c>
      <c r="B26" s="2" t="inlineStr">
        <is>
          <t>UAE</t>
        </is>
      </c>
      <c r="C26" s="2" t="inlineStr">
        <is>
          <t>ARE</t>
        </is>
      </c>
      <c r="D26" s="2" t="inlineStr">
        <is>
          <t>SEHA Dialysis Services - Al Wagan Hospital</t>
        </is>
      </c>
      <c r="E26" s="2" t="inlineStr">
        <is>
          <t>Hospital_Dialysis_Unit</t>
        </is>
      </c>
      <c r="F26" s="2" t="inlineStr">
        <is>
          <t>Hospital-based HD</t>
        </is>
      </c>
      <c r="G26" s="2" t="inlineStr">
        <is>
          <t>Al Wagan</t>
        </is>
      </c>
      <c r="H26" s="2" t="inlineStr">
        <is>
          <t>Abu Dhabi Emirate</t>
        </is>
      </c>
      <c r="I26" s="2" t="inlineStr">
        <is>
          <t>Abu Dhabi Emirate</t>
        </is>
      </c>
      <c r="J26" s="2" t="inlineStr"/>
      <c r="K26" s="2" t="inlineStr"/>
      <c r="L26" s="2" t="inlineStr"/>
      <c r="M26" s="2" t="inlineStr"/>
      <c r="N26" s="2" t="inlineStr"/>
      <c r="O26" s="2" t="inlineStr">
        <is>
          <t>Government</t>
        </is>
      </c>
      <c r="P26" s="2" t="inlineStr">
        <is>
          <t>Government</t>
        </is>
      </c>
      <c r="Q26" s="2" t="inlineStr">
        <is>
          <t>Yes</t>
        </is>
      </c>
      <c r="R26" s="2" t="inlineStr"/>
      <c r="S26" s="2" t="inlineStr"/>
      <c r="T26" s="2" t="inlineStr"/>
      <c r="U26" s="2" t="inlineStr"/>
      <c r="V26" s="2" t="inlineStr"/>
      <c r="W26" s="2" t="inlineStr"/>
      <c r="X26" s="2" t="inlineStr"/>
      <c r="Y26" s="2" t="n"/>
      <c r="Z26" s="2" t="inlineStr"/>
      <c r="AA26" s="2" t="inlineStr"/>
      <c r="AB26" s="2" t="inlineStr"/>
      <c r="AC26" s="2" t="n"/>
      <c r="AD26" s="2" t="n"/>
      <c r="AE26" s="2" t="inlineStr"/>
      <c r="AF26" s="2" t="inlineStr"/>
      <c r="AG26" s="2" t="inlineStr"/>
      <c r="AH26" s="2" t="inlineStr"/>
      <c r="AI26" s="2" t="inlineStr"/>
      <c r="AJ26" s="2" t="inlineStr"/>
      <c r="AK26" s="2" t="inlineStr"/>
      <c r="AL26" s="2" t="inlineStr"/>
      <c r="AM26" s="2" t="inlineStr"/>
      <c r="AN26" s="2" t="inlineStr"/>
      <c r="AO26" s="2" t="inlineStr">
        <is>
          <t>Medium</t>
        </is>
      </c>
      <c r="AP26" s="2" t="inlineStr"/>
      <c r="AQ26" s="2" t="inlineStr"/>
      <c r="AR26" s="2" t="inlineStr"/>
      <c r="AS26" s="2" t="inlineStr">
        <is>
          <t>Verified HD facility</t>
        </is>
      </c>
      <c r="AT26" s="2" t="inlineStr">
        <is>
          <t>Tier_2</t>
        </is>
      </c>
      <c r="AU26" s="2" t="inlineStr">
        <is>
          <t>OBSERVED</t>
        </is>
      </c>
      <c r="AV26" s="2" t="inlineStr">
        <is>
          <t>Very High</t>
        </is>
      </c>
      <c r="AW26" s="2" t="inlineStr">
        <is>
          <t>SRC-WEB-012</t>
        </is>
      </c>
      <c r="AX26" s="2" t="inlineStr">
        <is>
          <t>https://www.doh.gov.ae/en/research/authorized-research-institutes-and-cros</t>
        </is>
      </c>
      <c r="AY26" s="2" t="inlineStr">
        <is>
          <t>Abu Dhabi DoH list explicitly names SEHA Dialysis Services at Al Wagan Hospital.</t>
        </is>
      </c>
      <c r="AZ26" s="2" t="inlineStr">
        <is>
          <t>SOURCE-VERIFIED HD SERVICE; CURRENT STATUS SHOULD BE RECHECKED WHERE SOURCE IS HISTORICAL</t>
        </is>
      </c>
      <c r="BA26" s="2" t="inlineStr">
        <is>
          <t>2026-08-10</t>
        </is>
      </c>
      <c r="BB26" s="2" t="inlineStr">
        <is>
          <t>ANALYST_SCENARIO</t>
        </is>
      </c>
      <c r="BC26" s="2" t="inlineStr">
        <is>
          <t>Analyst prioritization based on verified HD service; not observed market share.</t>
        </is>
      </c>
    </row>
    <row r="27">
      <c r="A27" s="2" t="inlineStr">
        <is>
          <t>QAT-F001</t>
        </is>
      </c>
      <c r="B27" s="2" t="inlineStr">
        <is>
          <t>Qatar</t>
        </is>
      </c>
      <c r="C27" s="2" t="inlineStr">
        <is>
          <t>QAT</t>
        </is>
      </c>
      <c r="D27" s="2" t="inlineStr">
        <is>
          <t>Fahad Bin Jassim Kidney Center</t>
        </is>
      </c>
      <c r="E27" s="2" t="inlineStr">
        <is>
          <t>Specialized_Renal_Center</t>
        </is>
      </c>
      <c r="F27" s="2" t="inlineStr">
        <is>
          <t>Renal/kidney center</t>
        </is>
      </c>
      <c r="G27" s="2" t="inlineStr">
        <is>
          <t>Doha</t>
        </is>
      </c>
      <c r="H27" s="2" t="inlineStr">
        <is>
          <t>Doha</t>
        </is>
      </c>
      <c r="I27" s="2" t="inlineStr">
        <is>
          <t>Doha</t>
        </is>
      </c>
      <c r="J27" s="2" t="inlineStr"/>
      <c r="K27" s="2" t="inlineStr"/>
      <c r="L27" s="2" t="inlineStr"/>
      <c r="M27" s="2" t="inlineStr">
        <is>
          <t>Fahad Bin Jassim Kidney Center</t>
        </is>
      </c>
      <c r="N27" s="2" t="inlineStr"/>
      <c r="O27" s="2" t="inlineStr">
        <is>
          <t>Government</t>
        </is>
      </c>
      <c r="P27" s="2" t="inlineStr">
        <is>
          <t>Government</t>
        </is>
      </c>
      <c r="Q27" s="2" t="inlineStr">
        <is>
          <t>Yes</t>
        </is>
      </c>
      <c r="R27" s="2" t="inlineStr"/>
      <c r="S27" s="2" t="inlineStr"/>
      <c r="T27" s="2" t="inlineStr"/>
      <c r="U27" s="2" t="inlineStr"/>
      <c r="V27" s="2" t="inlineStr"/>
      <c r="W27" s="2" t="inlineStr"/>
      <c r="X27" s="2" t="inlineStr"/>
      <c r="Y27" s="2" t="n">
        <v>92</v>
      </c>
      <c r="Z27" s="2" t="inlineStr"/>
      <c r="AA27" s="2" t="inlineStr"/>
      <c r="AB27" s="2" t="inlineStr"/>
      <c r="AC27" s="2" t="n"/>
      <c r="AD27" s="2" t="n"/>
      <c r="AE27" s="2" t="inlineStr"/>
      <c r="AF27" s="2" t="inlineStr"/>
      <c r="AG27" s="2" t="inlineStr"/>
      <c r="AH27" s="2" t="inlineStr"/>
      <c r="AI27" s="2" t="inlineStr"/>
      <c r="AJ27" s="2" t="inlineStr"/>
      <c r="AK27" s="2" t="inlineStr"/>
      <c r="AL27" s="2" t="inlineStr"/>
      <c r="AM27" s="2" t="inlineStr"/>
      <c r="AN27" s="2" t="inlineStr"/>
      <c r="AO27" s="2" t="inlineStr">
        <is>
          <t>Very_High</t>
        </is>
      </c>
      <c r="AP27" s="2" t="inlineStr"/>
      <c r="AQ27" s="2" t="inlineStr"/>
      <c r="AR27" s="2" t="inlineStr"/>
      <c r="AS27" s="2" t="inlineStr">
        <is>
          <t>Verified HD facility</t>
        </is>
      </c>
      <c r="AT27" s="2" t="inlineStr">
        <is>
          <t>Tier_1</t>
        </is>
      </c>
      <c r="AU27" s="2" t="inlineStr">
        <is>
          <t>OBSERVED</t>
        </is>
      </c>
      <c r="AV27" s="2" t="inlineStr">
        <is>
          <t>Very High</t>
        </is>
      </c>
      <c r="AW27" s="2" t="inlineStr">
        <is>
          <t>SRC-WEB-024</t>
        </is>
      </c>
      <c r="AX27" s="2" t="inlineStr">
        <is>
          <t>https://pmc.ncbi.nlm.nih.gov/articles/PMC11102569/</t>
        </is>
      </c>
      <c r="AY27" s="2" t="inlineStr">
        <is>
          <t>2021 study reports 92 stations, 3 shifts/day and 52% of Qatar outpatient dialysis volume.</t>
        </is>
      </c>
      <c r="AZ27" s="2" t="inlineStr">
        <is>
          <t>SOURCE-VERIFIED HD SERVICE; CURRENT STATUS SHOULD BE RECHECKED WHERE SOURCE IS HISTORICAL</t>
        </is>
      </c>
      <c r="BA27" s="2" t="inlineStr">
        <is>
          <t>2026-08-10</t>
        </is>
      </c>
      <c r="BB27" s="2" t="inlineStr">
        <is>
          <t>ANALYST_SCENARIO</t>
        </is>
      </c>
      <c r="BC27" s="2" t="inlineStr">
        <is>
          <t>Analyst prioritization based on verified HD service; not observed market share.</t>
        </is>
      </c>
    </row>
    <row r="28">
      <c r="A28" s="2" t="inlineStr">
        <is>
          <t>QAT-F002</t>
        </is>
      </c>
      <c r="B28" s="2" t="inlineStr">
        <is>
          <t>Qatar</t>
        </is>
      </c>
      <c r="C28" s="2" t="inlineStr">
        <is>
          <t>QAT</t>
        </is>
      </c>
      <c r="D28" s="2" t="inlineStr">
        <is>
          <t>Al Khor Hospital Dialysis Unit</t>
        </is>
      </c>
      <c r="E28" s="2" t="inlineStr">
        <is>
          <t>Hospital_Dialysis_Unit</t>
        </is>
      </c>
      <c r="F28" s="2" t="inlineStr">
        <is>
          <t>Hospital-based HD</t>
        </is>
      </c>
      <c r="G28" s="2" t="inlineStr">
        <is>
          <t>Al Khor</t>
        </is>
      </c>
      <c r="H28" s="2" t="inlineStr">
        <is>
          <t>Al Khor</t>
        </is>
      </c>
      <c r="I28" s="2" t="inlineStr">
        <is>
          <t>Al Khor</t>
        </is>
      </c>
      <c r="J28" s="2" t="inlineStr"/>
      <c r="K28" s="2" t="inlineStr"/>
      <c r="L28" s="2" t="inlineStr"/>
      <c r="M28" s="2" t="inlineStr"/>
      <c r="N28" s="2" t="inlineStr"/>
      <c r="O28" s="2" t="inlineStr">
        <is>
          <t>Government</t>
        </is>
      </c>
      <c r="P28" s="2" t="inlineStr">
        <is>
          <t>Government</t>
        </is>
      </c>
      <c r="Q28" s="2" t="inlineStr">
        <is>
          <t>Yes</t>
        </is>
      </c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n">
        <v>22</v>
      </c>
      <c r="Z28" s="2" t="inlineStr"/>
      <c r="AA28" s="2" t="inlineStr"/>
      <c r="AB28" s="2" t="inlineStr"/>
      <c r="AC28" s="2" t="n"/>
      <c r="AD28" s="2" t="n"/>
      <c r="AE28" s="2" t="inlineStr"/>
      <c r="AF28" s="2" t="inlineStr"/>
      <c r="AG28" s="2" t="inlineStr"/>
      <c r="AH28" s="2" t="inlineStr"/>
      <c r="AI28" s="2" t="inlineStr"/>
      <c r="AJ28" s="2" t="inlineStr"/>
      <c r="AK28" s="2" t="inlineStr"/>
      <c r="AL28" s="2" t="inlineStr"/>
      <c r="AM28" s="2" t="inlineStr"/>
      <c r="AN28" s="2" t="inlineStr"/>
      <c r="AO28" s="2" t="inlineStr">
        <is>
          <t>High</t>
        </is>
      </c>
      <c r="AP28" s="2" t="inlineStr"/>
      <c r="AQ28" s="2" t="inlineStr"/>
      <c r="AR28" s="2" t="inlineStr"/>
      <c r="AS28" s="2" t="inlineStr">
        <is>
          <t>Verified HD facility</t>
        </is>
      </c>
      <c r="AT28" s="2" t="inlineStr">
        <is>
          <t>Tier_1</t>
        </is>
      </c>
      <c r="AU28" s="2" t="inlineStr">
        <is>
          <t>OBSERVED</t>
        </is>
      </c>
      <c r="AV28" s="2" t="inlineStr">
        <is>
          <t>Very High</t>
        </is>
      </c>
      <c r="AW28" s="2" t="inlineStr">
        <is>
          <t>SRC-WEB-022;SRC-WEB-024</t>
        </is>
      </c>
      <c r="AX28" s="2" t="inlineStr">
        <is>
          <t>https://hamad.qa/EN/Hospitals-and-services/Al-Khor-Hospital/Hospital%20Services/Clinical%20Departments/Pages/Nephrology-and-Dialysis-Department.aspx;https://pmc.ncbi.nlm.nih.gov/articles/PMC11102569/</t>
        </is>
      </c>
      <c r="AY28" s="2" t="inlineStr">
        <is>
          <t>HMC reports 22 hemodialysis stations; a 2021 peer-reviewed study reported 23 total dialysis stations. The current official HMC figure is retained as stronger evidence.</t>
        </is>
      </c>
      <c r="AZ28" s="2" t="inlineStr">
        <is>
          <t>SOURCE-VERIFIED HD SERVICE; CURRENT STATUS SHOULD BE RECHECKED WHERE SOURCE IS HISTORICAL</t>
        </is>
      </c>
      <c r="BA28" s="2" t="inlineStr">
        <is>
          <t>2026-08-10</t>
        </is>
      </c>
      <c r="BB28" s="2" t="inlineStr">
        <is>
          <t>ANALYST_SCENARIO</t>
        </is>
      </c>
      <c r="BC28" s="2" t="inlineStr">
        <is>
          <t>Analyst prioritization based on verified HD service; not observed market share.</t>
        </is>
      </c>
    </row>
    <row r="29">
      <c r="A29" s="2" t="inlineStr">
        <is>
          <t>QAT-F003</t>
        </is>
      </c>
      <c r="B29" s="2" t="inlineStr">
        <is>
          <t>Qatar</t>
        </is>
      </c>
      <c r="C29" s="2" t="inlineStr">
        <is>
          <t>QAT</t>
        </is>
      </c>
      <c r="D29" s="2" t="inlineStr">
        <is>
          <t>Al Wakra Hospital Dialysis Unit</t>
        </is>
      </c>
      <c r="E29" s="2" t="inlineStr">
        <is>
          <t>Hospital_Dialysis_Unit</t>
        </is>
      </c>
      <c r="F29" s="2" t="inlineStr">
        <is>
          <t>Hospital-based HD</t>
        </is>
      </c>
      <c r="G29" s="2" t="inlineStr">
        <is>
          <t>Al Wakrah</t>
        </is>
      </c>
      <c r="H29" s="2" t="inlineStr">
        <is>
          <t>Al Wakrah</t>
        </is>
      </c>
      <c r="I29" s="2" t="inlineStr">
        <is>
          <t>Al Wakrah</t>
        </is>
      </c>
      <c r="J29" s="2" t="inlineStr"/>
      <c r="K29" s="2" t="inlineStr"/>
      <c r="L29" s="2" t="inlineStr"/>
      <c r="M29" s="2" t="inlineStr"/>
      <c r="N29" s="2" t="inlineStr"/>
      <c r="O29" s="2" t="inlineStr">
        <is>
          <t>Government</t>
        </is>
      </c>
      <c r="P29" s="2" t="inlineStr">
        <is>
          <t>Government</t>
        </is>
      </c>
      <c r="Q29" s="2" t="inlineStr">
        <is>
          <t>Yes</t>
        </is>
      </c>
      <c r="R29" s="2" t="inlineStr"/>
      <c r="S29" s="2" t="inlineStr"/>
      <c r="T29" s="2" t="inlineStr"/>
      <c r="U29" s="2" t="inlineStr"/>
      <c r="V29" s="2" t="inlineStr"/>
      <c r="W29" s="2" t="inlineStr"/>
      <c r="X29" s="2" t="inlineStr"/>
      <c r="Y29" s="2" t="n">
        <v>18</v>
      </c>
      <c r="Z29" s="2" t="inlineStr"/>
      <c r="AA29" s="2" t="inlineStr"/>
      <c r="AB29" s="2" t="inlineStr"/>
      <c r="AC29" s="2" t="n"/>
      <c r="AD29" s="2" t="n"/>
      <c r="AE29" s="2" t="inlineStr"/>
      <c r="AF29" s="2" t="inlineStr"/>
      <c r="AG29" s="2" t="inlineStr"/>
      <c r="AH29" s="2" t="inlineStr"/>
      <c r="AI29" s="2" t="inlineStr"/>
      <c r="AJ29" s="2" t="inlineStr"/>
      <c r="AK29" s="2" t="inlineStr"/>
      <c r="AL29" s="2" t="inlineStr"/>
      <c r="AM29" s="2" t="inlineStr"/>
      <c r="AN29" s="2" t="inlineStr"/>
      <c r="AO29" s="2" t="inlineStr">
        <is>
          <t>High</t>
        </is>
      </c>
      <c r="AP29" s="2" t="inlineStr"/>
      <c r="AQ29" s="2" t="inlineStr"/>
      <c r="AR29" s="2" t="inlineStr"/>
      <c r="AS29" s="2" t="inlineStr">
        <is>
          <t>Verified HD facility</t>
        </is>
      </c>
      <c r="AT29" s="2" t="inlineStr">
        <is>
          <t>Tier_1</t>
        </is>
      </c>
      <c r="AU29" s="2" t="inlineStr">
        <is>
          <t>OBSERVED</t>
        </is>
      </c>
      <c r="AV29" s="2" t="inlineStr">
        <is>
          <t>Very High</t>
        </is>
      </c>
      <c r="AW29" s="2" t="inlineStr">
        <is>
          <t>SRC-WEB-021;SRC-WEB-024</t>
        </is>
      </c>
      <c r="AX29" s="2" t="inlineStr">
        <is>
          <t>https://hamad.qa/EN/Hospitals-and-services/Hamad-General-Hospital/Pages/Dialysis-Division.aspx;https://pmc.ncbi.nlm.nih.gov/articles/PMC11102569/</t>
        </is>
      </c>
      <c r="AY29" s="2" t="inlineStr">
        <is>
          <t>2021 study reports 18 stations and 3 shifts/day; HMC confirms hemodialysis service.</t>
        </is>
      </c>
      <c r="AZ29" s="2" t="inlineStr">
        <is>
          <t>SOURCE-VERIFIED HD SERVICE; CURRENT STATUS SHOULD BE RECHECKED WHERE SOURCE IS HISTORICAL</t>
        </is>
      </c>
      <c r="BA29" s="2" t="inlineStr">
        <is>
          <t>2026-08-10</t>
        </is>
      </c>
      <c r="BB29" s="2" t="inlineStr">
        <is>
          <t>ANALYST_SCENARIO</t>
        </is>
      </c>
      <c r="BC29" s="2" t="inlineStr">
        <is>
          <t>Analyst prioritization based on verified HD service; not observed market share.</t>
        </is>
      </c>
    </row>
    <row r="30">
      <c r="A30" s="2" t="inlineStr">
        <is>
          <t>QAT-F004</t>
        </is>
      </c>
      <c r="B30" s="2" t="inlineStr">
        <is>
          <t>Qatar</t>
        </is>
      </c>
      <c r="C30" s="2" t="inlineStr">
        <is>
          <t>QAT</t>
        </is>
      </c>
      <c r="D30" s="2" t="inlineStr">
        <is>
          <t>Al Wakra Health Center Dialysis Unit</t>
        </is>
      </c>
      <c r="E30" s="2" t="inlineStr">
        <is>
          <t>Health_Center</t>
        </is>
      </c>
      <c r="F30" s="2" t="inlineStr">
        <is>
          <t>Health-center HD</t>
        </is>
      </c>
      <c r="G30" s="2" t="inlineStr">
        <is>
          <t>Al Wakrah</t>
        </is>
      </c>
      <c r="H30" s="2" t="inlineStr">
        <is>
          <t>Al Wakrah</t>
        </is>
      </c>
      <c r="I30" s="2" t="inlineStr">
        <is>
          <t>Al Wakrah</t>
        </is>
      </c>
      <c r="J30" s="2" t="inlineStr"/>
      <c r="K30" s="2" t="inlineStr"/>
      <c r="L30" s="2" t="inlineStr"/>
      <c r="M30" s="2" t="inlineStr">
        <is>
          <t>Al Wakra Health Center Dialysis Unit</t>
        </is>
      </c>
      <c r="N30" s="2" t="inlineStr"/>
      <c r="O30" s="2" t="inlineStr">
        <is>
          <t>Government</t>
        </is>
      </c>
      <c r="P30" s="2" t="inlineStr">
        <is>
          <t>Government</t>
        </is>
      </c>
      <c r="Q30" s="2" t="inlineStr">
        <is>
          <t>Yes</t>
        </is>
      </c>
      <c r="R30" s="2" t="inlineStr"/>
      <c r="S30" s="2" t="inlineStr"/>
      <c r="T30" s="2" t="inlineStr"/>
      <c r="U30" s="2" t="inlineStr"/>
      <c r="V30" s="2" t="inlineStr"/>
      <c r="W30" s="2" t="inlineStr"/>
      <c r="X30" s="2" t="inlineStr"/>
      <c r="Y30" s="2" t="n">
        <v>23</v>
      </c>
      <c r="Z30" s="2" t="inlineStr"/>
      <c r="AA30" s="2" t="inlineStr"/>
      <c r="AB30" s="2" t="inlineStr"/>
      <c r="AC30" s="2" t="n"/>
      <c r="AD30" s="2" t="n"/>
      <c r="AE30" s="2" t="inlineStr"/>
      <c r="AF30" s="2" t="inlineStr"/>
      <c r="AG30" s="2" t="inlineStr"/>
      <c r="AH30" s="2" t="inlineStr"/>
      <c r="AI30" s="2" t="inlineStr"/>
      <c r="AJ30" s="2" t="inlineStr"/>
      <c r="AK30" s="2" t="inlineStr"/>
      <c r="AL30" s="2" t="inlineStr"/>
      <c r="AM30" s="2" t="inlineStr"/>
      <c r="AN30" s="2" t="inlineStr"/>
      <c r="AO30" s="2" t="inlineStr">
        <is>
          <t>High</t>
        </is>
      </c>
      <c r="AP30" s="2" t="inlineStr"/>
      <c r="AQ30" s="2" t="inlineStr"/>
      <c r="AR30" s="2" t="inlineStr"/>
      <c r="AS30" s="2" t="inlineStr">
        <is>
          <t>Verified HD facility</t>
        </is>
      </c>
      <c r="AT30" s="2" t="inlineStr">
        <is>
          <t>Tier_1</t>
        </is>
      </c>
      <c r="AU30" s="2" t="inlineStr">
        <is>
          <t>OBSERVED</t>
        </is>
      </c>
      <c r="AV30" s="2" t="inlineStr">
        <is>
          <t>Very High</t>
        </is>
      </c>
      <c r="AW30" s="2" t="inlineStr">
        <is>
          <t>SRC-WEB-024</t>
        </is>
      </c>
      <c r="AX30" s="2" t="inlineStr">
        <is>
          <t>https://pmc.ncbi.nlm.nih.gov/articles/PMC11102569/</t>
        </is>
      </c>
      <c r="AY30" s="2" t="inlineStr">
        <is>
          <t>2021 study reports 23 stations and 3 shifts/day.</t>
        </is>
      </c>
      <c r="AZ30" s="2" t="inlineStr">
        <is>
          <t>SOURCE-VERIFIED HD SERVICE; CURRENT STATUS SHOULD BE RECHECKED WHERE SOURCE IS HISTORICAL</t>
        </is>
      </c>
      <c r="BA30" s="2" t="inlineStr">
        <is>
          <t>2026-08-10</t>
        </is>
      </c>
      <c r="BB30" s="2" t="inlineStr">
        <is>
          <t>ANALYST_SCENARIO</t>
        </is>
      </c>
      <c r="BC30" s="2" t="inlineStr">
        <is>
          <t>Analyst prioritization based on verified HD service; not observed market share.</t>
        </is>
      </c>
    </row>
    <row r="31">
      <c r="A31" s="2" t="inlineStr">
        <is>
          <t>QAT-F005</t>
        </is>
      </c>
      <c r="B31" s="2" t="inlineStr">
        <is>
          <t>Qatar</t>
        </is>
      </c>
      <c r="C31" s="2" t="inlineStr">
        <is>
          <t>QAT</t>
        </is>
      </c>
      <c r="D31" s="2" t="inlineStr">
        <is>
          <t>Al Sheehaniya Health Center Dialysis Unit</t>
        </is>
      </c>
      <c r="E31" s="2" t="inlineStr">
        <is>
          <t>Health_Center</t>
        </is>
      </c>
      <c r="F31" s="2" t="inlineStr">
        <is>
          <t>Health-center HD</t>
        </is>
      </c>
      <c r="G31" s="2" t="inlineStr">
        <is>
          <t>Al Sheehaniya</t>
        </is>
      </c>
      <c r="H31" s="2" t="inlineStr">
        <is>
          <t>Al Sheehaniya</t>
        </is>
      </c>
      <c r="I31" s="2" t="inlineStr">
        <is>
          <t>Al Sheehaniya</t>
        </is>
      </c>
      <c r="J31" s="2" t="inlineStr"/>
      <c r="K31" s="2" t="inlineStr"/>
      <c r="L31" s="2" t="inlineStr"/>
      <c r="M31" s="2" t="inlineStr">
        <is>
          <t>Al Sheehaniya Health Center Dialysis Unit</t>
        </is>
      </c>
      <c r="N31" s="2" t="inlineStr"/>
      <c r="O31" s="2" t="inlineStr">
        <is>
          <t>Government</t>
        </is>
      </c>
      <c r="P31" s="2" t="inlineStr">
        <is>
          <t>Government</t>
        </is>
      </c>
      <c r="Q31" s="2" t="inlineStr">
        <is>
          <t>Yes</t>
        </is>
      </c>
      <c r="R31" s="2" t="inlineStr"/>
      <c r="S31" s="2" t="inlineStr"/>
      <c r="T31" s="2" t="inlineStr"/>
      <c r="U31" s="2" t="inlineStr"/>
      <c r="V31" s="2" t="inlineStr"/>
      <c r="W31" s="2" t="inlineStr"/>
      <c r="X31" s="2" t="inlineStr"/>
      <c r="Y31" s="2" t="n">
        <v>12</v>
      </c>
      <c r="Z31" s="2" t="inlineStr"/>
      <c r="AA31" s="2" t="inlineStr"/>
      <c r="AB31" s="2" t="inlineStr"/>
      <c r="AC31" s="2" t="n"/>
      <c r="AD31" s="2" t="n"/>
      <c r="AE31" s="2" t="inlineStr"/>
      <c r="AF31" s="2" t="inlineStr"/>
      <c r="AG31" s="2" t="inlineStr"/>
      <c r="AH31" s="2" t="inlineStr"/>
      <c r="AI31" s="2" t="inlineStr"/>
      <c r="AJ31" s="2" t="inlineStr"/>
      <c r="AK31" s="2" t="inlineStr"/>
      <c r="AL31" s="2" t="inlineStr"/>
      <c r="AM31" s="2" t="inlineStr"/>
      <c r="AN31" s="2" t="inlineStr"/>
      <c r="AO31" s="2" t="inlineStr">
        <is>
          <t>Medium</t>
        </is>
      </c>
      <c r="AP31" s="2" t="inlineStr"/>
      <c r="AQ31" s="2" t="inlineStr"/>
      <c r="AR31" s="2" t="inlineStr"/>
      <c r="AS31" s="2" t="inlineStr">
        <is>
          <t>Verified HD facility</t>
        </is>
      </c>
      <c r="AT31" s="2" t="inlineStr">
        <is>
          <t>Tier_2</t>
        </is>
      </c>
      <c r="AU31" s="2" t="inlineStr">
        <is>
          <t>OBSERVED</t>
        </is>
      </c>
      <c r="AV31" s="2" t="inlineStr">
        <is>
          <t>Very High</t>
        </is>
      </c>
      <c r="AW31" s="2" t="inlineStr">
        <is>
          <t>SRC-WEB-024</t>
        </is>
      </c>
      <c r="AX31" s="2" t="inlineStr">
        <is>
          <t>https://pmc.ncbi.nlm.nih.gov/articles/PMC11102569/</t>
        </is>
      </c>
      <c r="AY31" s="2" t="inlineStr">
        <is>
          <t>2021 study reports 12 stations and 2 shifts/day.</t>
        </is>
      </c>
      <c r="AZ31" s="2" t="inlineStr">
        <is>
          <t>SOURCE-VERIFIED HD SERVICE; CURRENT STATUS SHOULD BE RECHECKED WHERE SOURCE IS HISTORICAL</t>
        </is>
      </c>
      <c r="BA31" s="2" t="inlineStr">
        <is>
          <t>2026-08-10</t>
        </is>
      </c>
      <c r="BB31" s="2" t="inlineStr">
        <is>
          <t>ANALYST_SCENARIO</t>
        </is>
      </c>
      <c r="BC31" s="2" t="inlineStr">
        <is>
          <t>Analyst prioritization based on verified HD service; not observed market share.</t>
        </is>
      </c>
    </row>
    <row r="32">
      <c r="A32" s="2" t="inlineStr">
        <is>
          <t>QAT-F006</t>
        </is>
      </c>
      <c r="B32" s="2" t="inlineStr">
        <is>
          <t>Qatar</t>
        </is>
      </c>
      <c r="C32" s="2" t="inlineStr">
        <is>
          <t>QAT</t>
        </is>
      </c>
      <c r="D32" s="2" t="inlineStr">
        <is>
          <t>Al Shamal Medical Center Dialysis Unit</t>
        </is>
      </c>
      <c r="E32" s="2" t="inlineStr">
        <is>
          <t>Health_Center</t>
        </is>
      </c>
      <c r="F32" s="2" t="inlineStr">
        <is>
          <t>Health-center HD</t>
        </is>
      </c>
      <c r="G32" s="2" t="inlineStr">
        <is>
          <t>Al Shamal</t>
        </is>
      </c>
      <c r="H32" s="2" t="inlineStr">
        <is>
          <t>Al Shamal</t>
        </is>
      </c>
      <c r="I32" s="2" t="inlineStr">
        <is>
          <t>Al Shamal</t>
        </is>
      </c>
      <c r="J32" s="2" t="inlineStr"/>
      <c r="K32" s="2" t="inlineStr"/>
      <c r="L32" s="2" t="inlineStr"/>
      <c r="M32" s="2" t="inlineStr">
        <is>
          <t>Al Shamal Medical Center Dialysis Unit</t>
        </is>
      </c>
      <c r="N32" s="2" t="inlineStr"/>
      <c r="O32" s="2" t="inlineStr">
        <is>
          <t>Government</t>
        </is>
      </c>
      <c r="P32" s="2" t="inlineStr">
        <is>
          <t>Government</t>
        </is>
      </c>
      <c r="Q32" s="2" t="inlineStr">
        <is>
          <t>Yes</t>
        </is>
      </c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n">
        <v>10</v>
      </c>
      <c r="Z32" s="2" t="inlineStr"/>
      <c r="AA32" s="2" t="inlineStr"/>
      <c r="AB32" s="2" t="inlineStr"/>
      <c r="AC32" s="2" t="n"/>
      <c r="AD32" s="2" t="n"/>
      <c r="AE32" s="2" t="inlineStr"/>
      <c r="AF32" s="2" t="inlineStr"/>
      <c r="AG32" s="2" t="inlineStr"/>
      <c r="AH32" s="2" t="inlineStr"/>
      <c r="AI32" s="2" t="inlineStr"/>
      <c r="AJ32" s="2" t="inlineStr"/>
      <c r="AK32" s="2" t="inlineStr"/>
      <c r="AL32" s="2" t="inlineStr"/>
      <c r="AM32" s="2" t="inlineStr"/>
      <c r="AN32" s="2" t="inlineStr"/>
      <c r="AO32" s="2" t="inlineStr">
        <is>
          <t>Medium</t>
        </is>
      </c>
      <c r="AP32" s="2" t="inlineStr"/>
      <c r="AQ32" s="2" t="inlineStr"/>
      <c r="AR32" s="2" t="inlineStr"/>
      <c r="AS32" s="2" t="inlineStr">
        <is>
          <t>Verified HD facility</t>
        </is>
      </c>
      <c r="AT32" s="2" t="inlineStr">
        <is>
          <t>Tier_2</t>
        </is>
      </c>
      <c r="AU32" s="2" t="inlineStr">
        <is>
          <t>OBSERVED</t>
        </is>
      </c>
      <c r="AV32" s="2" t="inlineStr">
        <is>
          <t>Very High</t>
        </is>
      </c>
      <c r="AW32" s="2" t="inlineStr">
        <is>
          <t>SRC-WEB-024</t>
        </is>
      </c>
      <c r="AX32" s="2" t="inlineStr">
        <is>
          <t>https://pmc.ncbi.nlm.nih.gov/articles/PMC11102569/</t>
        </is>
      </c>
      <c r="AY32" s="2" t="inlineStr">
        <is>
          <t>2021 study reports 10 stations and 2 shifts/day.</t>
        </is>
      </c>
      <c r="AZ32" s="2" t="inlineStr">
        <is>
          <t>SOURCE-VERIFIED HD SERVICE; CURRENT STATUS SHOULD BE RECHECKED WHERE SOURCE IS HISTORICAL</t>
        </is>
      </c>
      <c r="BA32" s="2" t="inlineStr">
        <is>
          <t>2026-08-10</t>
        </is>
      </c>
      <c r="BB32" s="2" t="inlineStr">
        <is>
          <t>ANALYST_SCENARIO</t>
        </is>
      </c>
      <c r="BC32" s="2" t="inlineStr">
        <is>
          <t>Analyst prioritization based on verified HD service; not observed market share.</t>
        </is>
      </c>
    </row>
    <row r="33">
      <c r="A33" s="2" t="inlineStr">
        <is>
          <t>QAT-F007</t>
        </is>
      </c>
      <c r="B33" s="2" t="inlineStr">
        <is>
          <t>Qatar</t>
        </is>
      </c>
      <c r="C33" s="2" t="inlineStr">
        <is>
          <t>QAT</t>
        </is>
      </c>
      <c r="D33" s="2" t="inlineStr">
        <is>
          <t>Muaither Health Center Ambulatory Dialysis Unit</t>
        </is>
      </c>
      <c r="E33" s="2" t="inlineStr">
        <is>
          <t>Health_Center</t>
        </is>
      </c>
      <c r="F33" s="2" t="inlineStr">
        <is>
          <t>Health-center HD</t>
        </is>
      </c>
      <c r="G33" s="2" t="inlineStr">
        <is>
          <t>Doha</t>
        </is>
      </c>
      <c r="H33" s="2" t="inlineStr">
        <is>
          <t>Doha</t>
        </is>
      </c>
      <c r="I33" s="2" t="inlineStr">
        <is>
          <t>Doha</t>
        </is>
      </c>
      <c r="J33" s="2" t="inlineStr"/>
      <c r="K33" s="2" t="inlineStr"/>
      <c r="L33" s="2" t="inlineStr"/>
      <c r="M33" s="2" t="inlineStr">
        <is>
          <t>Muaither Health Center Ambulatory Dialysis Unit</t>
        </is>
      </c>
      <c r="N33" s="2" t="inlineStr"/>
      <c r="O33" s="2" t="inlineStr">
        <is>
          <t>Government</t>
        </is>
      </c>
      <c r="P33" s="2" t="inlineStr">
        <is>
          <t>Government</t>
        </is>
      </c>
      <c r="Q33" s="2" t="inlineStr">
        <is>
          <t>Yes</t>
        </is>
      </c>
      <c r="R33" s="2" t="inlineStr"/>
      <c r="S33" s="2" t="inlineStr"/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  <c r="AB33" s="2" t="inlineStr"/>
      <c r="AC33" s="2" t="n"/>
      <c r="AD33" s="2" t="n"/>
      <c r="AE33" s="2" t="inlineStr"/>
      <c r="AF33" s="2" t="inlineStr"/>
      <c r="AG33" s="2" t="inlineStr"/>
      <c r="AH33" s="2" t="inlineStr"/>
      <c r="AI33" s="2" t="inlineStr"/>
      <c r="AJ33" s="2" t="inlineStr"/>
      <c r="AK33" s="2" t="inlineStr"/>
      <c r="AL33" s="2" t="inlineStr"/>
      <c r="AM33" s="2" t="inlineStr"/>
      <c r="AN33" s="2" t="inlineStr"/>
      <c r="AO33" s="2" t="inlineStr">
        <is>
          <t>Medium</t>
        </is>
      </c>
      <c r="AP33" s="2" t="inlineStr"/>
      <c r="AQ33" s="2" t="inlineStr"/>
      <c r="AR33" s="2" t="inlineStr"/>
      <c r="AS33" s="2" t="inlineStr">
        <is>
          <t>Verified HD facility</t>
        </is>
      </c>
      <c r="AT33" s="2" t="inlineStr">
        <is>
          <t>Tier_2</t>
        </is>
      </c>
      <c r="AU33" s="2" t="inlineStr">
        <is>
          <t>OBSERVED</t>
        </is>
      </c>
      <c r="AV33" s="2" t="inlineStr">
        <is>
          <t>Very High</t>
        </is>
      </c>
      <c r="AW33" s="2" t="inlineStr">
        <is>
          <t>SRC-WEB-023</t>
        </is>
      </c>
      <c r="AX33" s="2" t="inlineStr">
        <is>
          <t>https://hamad.qa/EN/news/2024/May/Pages/New-Ambulatory-Dialysis-Unit-at-Muaither-Health-Center-Officially-Opens.aspx</t>
        </is>
      </c>
      <c r="AY33" s="2" t="inlineStr">
        <is>
          <t>HMC opened an eight-bed ambulatory dialysis unit in 2024; beds are not converted to HD stations.</t>
        </is>
      </c>
      <c r="AZ33" s="2" t="inlineStr">
        <is>
          <t>SOURCE-VERIFIED HD SERVICE; CURRENT STATUS SHOULD BE RECHECKED WHERE SOURCE IS HISTORICAL</t>
        </is>
      </c>
      <c r="BA33" s="2" t="inlineStr">
        <is>
          <t>2026-08-10</t>
        </is>
      </c>
      <c r="BB33" s="2" t="inlineStr">
        <is>
          <t>ANALYST_SCENARIO</t>
        </is>
      </c>
      <c r="BC33" s="2" t="inlineStr">
        <is>
          <t>Analyst prioritization based on verified HD service; not observed market share.</t>
        </is>
      </c>
    </row>
    <row r="34">
      <c r="A34" s="2" t="inlineStr">
        <is>
          <t>QAT-F008</t>
        </is>
      </c>
      <c r="B34" s="2" t="inlineStr">
        <is>
          <t>Qatar</t>
        </is>
      </c>
      <c r="C34" s="2" t="inlineStr">
        <is>
          <t>QAT</t>
        </is>
      </c>
      <c r="D34" s="2" t="inlineStr">
        <is>
          <t>Daam Specialized Care Center</t>
        </is>
      </c>
      <c r="E34" s="2" t="inlineStr">
        <is>
          <t>Long_Term_Care_Facility</t>
        </is>
      </c>
      <c r="F34" s="2" t="inlineStr">
        <is>
          <t>Long-term care HD</t>
        </is>
      </c>
      <c r="G34" s="2" t="inlineStr">
        <is>
          <t>Doha</t>
        </is>
      </c>
      <c r="H34" s="2" t="inlineStr">
        <is>
          <t>Doha</t>
        </is>
      </c>
      <c r="I34" s="2" t="inlineStr">
        <is>
          <t>Doha</t>
        </is>
      </c>
      <c r="J34" s="2" t="inlineStr"/>
      <c r="K34" s="2" t="inlineStr"/>
      <c r="L34" s="2" t="inlineStr"/>
      <c r="M34" s="2" t="inlineStr"/>
      <c r="N34" s="2" t="inlineStr"/>
      <c r="O34" s="2" t="inlineStr">
        <is>
          <t>Government</t>
        </is>
      </c>
      <c r="P34" s="2" t="inlineStr">
        <is>
          <t>Government</t>
        </is>
      </c>
      <c r="Q34" s="2" t="inlineStr">
        <is>
          <t>Yes</t>
        </is>
      </c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n"/>
      <c r="Z34" s="2" t="inlineStr"/>
      <c r="AA34" s="2" t="inlineStr"/>
      <c r="AB34" s="2" t="inlineStr"/>
      <c r="AC34" s="2" t="n"/>
      <c r="AD34" s="2" t="n"/>
      <c r="AE34" s="2" t="inlineStr"/>
      <c r="AF34" s="2" t="inlineStr"/>
      <c r="AG34" s="2" t="inlineStr"/>
      <c r="AH34" s="2" t="inlineStr"/>
      <c r="AI34" s="2" t="inlineStr"/>
      <c r="AJ34" s="2" t="inlineStr"/>
      <c r="AK34" s="2" t="inlineStr"/>
      <c r="AL34" s="2" t="inlineStr"/>
      <c r="AM34" s="2" t="inlineStr"/>
      <c r="AN34" s="2" t="inlineStr"/>
      <c r="AO34" s="2" t="inlineStr">
        <is>
          <t>Medium</t>
        </is>
      </c>
      <c r="AP34" s="2" t="inlineStr"/>
      <c r="AQ34" s="2" t="inlineStr"/>
      <c r="AR34" s="2" t="inlineStr"/>
      <c r="AS34" s="2" t="inlineStr">
        <is>
          <t>Verified HD facility</t>
        </is>
      </c>
      <c r="AT34" s="2" t="inlineStr">
        <is>
          <t>Tier_2</t>
        </is>
      </c>
      <c r="AU34" s="2" t="inlineStr">
        <is>
          <t>OBSERVED</t>
        </is>
      </c>
      <c r="AV34" s="2" t="inlineStr">
        <is>
          <t>Very High</t>
        </is>
      </c>
      <c r="AW34" s="2" t="inlineStr">
        <is>
          <t>SRC-WEB-026</t>
        </is>
      </c>
      <c r="AX34" s="2" t="inlineStr">
        <is>
          <t>https://hamad.qa/EN/Hospitals-and-services/Enaya-and-Daam/Pages/default.aspx</t>
        </is>
      </c>
      <c r="AY34" s="2" t="inlineStr">
        <is>
          <t>HMC states Daam provides on-site hemodialysis for long-term care patients.</t>
        </is>
      </c>
      <c r="AZ34" s="2" t="inlineStr">
        <is>
          <t>SOURCE-VERIFIED HD SERVICE; CURRENT STATUS SHOULD BE RECHECKED WHERE SOURCE IS HISTORICAL</t>
        </is>
      </c>
      <c r="BA34" s="2" t="inlineStr">
        <is>
          <t>2026-08-10</t>
        </is>
      </c>
      <c r="BB34" s="2" t="inlineStr">
        <is>
          <t>ANALYST_SCENARIO</t>
        </is>
      </c>
      <c r="BC34" s="2" t="inlineStr">
        <is>
          <t>Analyst prioritization based on verified HD service; not observed market share.</t>
        </is>
      </c>
    </row>
    <row r="35">
      <c r="A35" s="2" t="inlineStr">
        <is>
          <t>KWT-F001</t>
        </is>
      </c>
      <c r="B35" s="2" t="inlineStr">
        <is>
          <t>Kuwait</t>
        </is>
      </c>
      <c r="C35" s="2" t="inlineStr">
        <is>
          <t>KWT</t>
        </is>
      </c>
      <c r="D35" s="2" t="inlineStr">
        <is>
          <t>Amiri Hospital</t>
        </is>
      </c>
      <c r="E35" s="2" t="inlineStr">
        <is>
          <t>Hospital_Dialysis_Unit</t>
        </is>
      </c>
      <c r="F35" s="2" t="inlineStr">
        <is>
          <t>Hospital-based HD</t>
        </is>
      </c>
      <c r="G35" s="2" t="inlineStr">
        <is>
          <t>Kuwait City</t>
        </is>
      </c>
      <c r="H35" s="2" t="inlineStr">
        <is>
          <t>Capital</t>
        </is>
      </c>
      <c r="I35" s="2" t="inlineStr">
        <is>
          <t>Capital</t>
        </is>
      </c>
      <c r="J35" s="2" t="inlineStr"/>
      <c r="K35" s="2" t="inlineStr"/>
      <c r="L35" s="2" t="inlineStr"/>
      <c r="M35" s="2" t="inlineStr"/>
      <c r="N35" s="2" t="inlineStr"/>
      <c r="O35" s="2" t="inlineStr">
        <is>
          <t>Government</t>
        </is>
      </c>
      <c r="P35" s="2" t="inlineStr">
        <is>
          <t>Government</t>
        </is>
      </c>
      <c r="Q35" s="2" t="inlineStr">
        <is>
          <t>Yes</t>
        </is>
      </c>
      <c r="R35" s="2" t="inlineStr"/>
      <c r="S35" s="2" t="inlineStr"/>
      <c r="T35" s="2" t="inlineStr"/>
      <c r="U35" s="2" t="inlineStr"/>
      <c r="V35" s="2" t="inlineStr"/>
      <c r="W35" s="2" t="inlineStr"/>
      <c r="X35" s="2" t="inlineStr"/>
      <c r="Y35" s="2" t="n"/>
      <c r="Z35" s="2" t="inlineStr"/>
      <c r="AA35" s="2" t="inlineStr"/>
      <c r="AB35" s="2" t="inlineStr"/>
      <c r="AC35" s="2" t="n"/>
      <c r="AD35" s="2" t="n"/>
      <c r="AE35" s="2" t="inlineStr"/>
      <c r="AF35" s="2" t="inlineStr"/>
      <c r="AG35" s="2" t="inlineStr"/>
      <c r="AH35" s="2" t="inlineStr"/>
      <c r="AI35" s="2" t="inlineStr"/>
      <c r="AJ35" s="2" t="inlineStr"/>
      <c r="AK35" s="2" t="inlineStr"/>
      <c r="AL35" s="2" t="inlineStr"/>
      <c r="AM35" s="2" t="inlineStr"/>
      <c r="AN35" s="2" t="inlineStr"/>
      <c r="AO35" s="2" t="inlineStr">
        <is>
          <t>Very_High</t>
        </is>
      </c>
      <c r="AP35" s="2" t="inlineStr"/>
      <c r="AQ35" s="2" t="inlineStr"/>
      <c r="AR35" s="2" t="inlineStr"/>
      <c r="AS35" s="2" t="inlineStr">
        <is>
          <t>Verified HD facility</t>
        </is>
      </c>
      <c r="AT35" s="2" t="inlineStr">
        <is>
          <t>Tier_1</t>
        </is>
      </c>
      <c r="AU35" s="2" t="inlineStr">
        <is>
          <t>OBSERVED</t>
        </is>
      </c>
      <c r="AV35" s="2" t="inlineStr">
        <is>
          <t>Very High</t>
        </is>
      </c>
      <c r="AW35" s="2" t="inlineStr">
        <is>
          <t>SRC-WEB-027;SRC-WEB-028</t>
        </is>
      </c>
      <c r="AX35" s="2" t="inlineStr">
        <is>
          <t>https://pmc.ncbi.nlm.nih.gov/articles/PMC8791361/;https://pmc.ncbi.nlm.nih.gov/articles/PMC12133130/</t>
        </is>
      </c>
      <c r="AY35" s="2" t="inlineStr">
        <is>
          <t>Kuwait review identifies Amiri as an MOH HD hospital with one large and two small satellite units; 2025 study includes Amiri among seven MOH hospitals providing dialysis.</t>
        </is>
      </c>
      <c r="AZ35" s="2" t="inlineStr">
        <is>
          <t>SOURCE-VERIFIED HD SERVICE; CURRENT STATUS SHOULD BE RECHECKED WHERE SOURCE IS HISTORICAL</t>
        </is>
      </c>
      <c r="BA35" s="2" t="inlineStr">
        <is>
          <t>2026-08-10</t>
        </is>
      </c>
      <c r="BB35" s="2" t="inlineStr">
        <is>
          <t>ANALYST_SCENARIO</t>
        </is>
      </c>
      <c r="BC35" s="2" t="inlineStr">
        <is>
          <t>Analyst prioritization based on verified HD service; not observed market share.</t>
        </is>
      </c>
    </row>
    <row r="36">
      <c r="A36" s="2" t="inlineStr">
        <is>
          <t>KWT-F002</t>
        </is>
      </c>
      <c r="B36" s="2" t="inlineStr">
        <is>
          <t>Kuwait</t>
        </is>
      </c>
      <c r="C36" s="2" t="inlineStr">
        <is>
          <t>KWT</t>
        </is>
      </c>
      <c r="D36" s="2" t="inlineStr">
        <is>
          <t>Mubarak Hospital</t>
        </is>
      </c>
      <c r="E36" s="2" t="inlineStr">
        <is>
          <t>Hospital_Dialysis_Unit</t>
        </is>
      </c>
      <c r="F36" s="2" t="inlineStr">
        <is>
          <t>Hospital-based HD</t>
        </is>
      </c>
      <c r="G36" s="2" t="inlineStr">
        <is>
          <t>Jabriya</t>
        </is>
      </c>
      <c r="H36" s="2" t="inlineStr">
        <is>
          <t>Hawalli</t>
        </is>
      </c>
      <c r="I36" s="2" t="inlineStr">
        <is>
          <t>Hawalli</t>
        </is>
      </c>
      <c r="J36" s="2" t="inlineStr"/>
      <c r="K36" s="2" t="inlineStr"/>
      <c r="L36" s="2" t="inlineStr"/>
      <c r="M36" s="2" t="inlineStr"/>
      <c r="N36" s="2" t="inlineStr"/>
      <c r="O36" s="2" t="inlineStr">
        <is>
          <t>Government</t>
        </is>
      </c>
      <c r="P36" s="2" t="inlineStr">
        <is>
          <t>Government</t>
        </is>
      </c>
      <c r="Q36" s="2" t="inlineStr">
        <is>
          <t>Yes</t>
        </is>
      </c>
      <c r="R36" s="2" t="inlineStr"/>
      <c r="S36" s="2" t="inlineStr"/>
      <c r="T36" s="2" t="inlineStr"/>
      <c r="U36" s="2" t="inlineStr"/>
      <c r="V36" s="2" t="inlineStr"/>
      <c r="W36" s="2" t="inlineStr"/>
      <c r="X36" s="2" t="inlineStr"/>
      <c r="Y36" s="2" t="n"/>
      <c r="Z36" s="2" t="inlineStr"/>
      <c r="AA36" s="2" t="inlineStr"/>
      <c r="AB36" s="2" t="inlineStr"/>
      <c r="AC36" s="2" t="n"/>
      <c r="AD36" s="2" t="n"/>
      <c r="AE36" s="2" t="inlineStr"/>
      <c r="AF36" s="2" t="inlineStr"/>
      <c r="AG36" s="2" t="inlineStr"/>
      <c r="AH36" s="2" t="inlineStr"/>
      <c r="AI36" s="2" t="inlineStr"/>
      <c r="AJ36" s="2" t="inlineStr"/>
      <c r="AK36" s="2" t="inlineStr"/>
      <c r="AL36" s="2" t="inlineStr"/>
      <c r="AM36" s="2" t="inlineStr"/>
      <c r="AN36" s="2" t="inlineStr"/>
      <c r="AO36" s="2" t="inlineStr">
        <is>
          <t>Very_High</t>
        </is>
      </c>
      <c r="AP36" s="2" t="inlineStr"/>
      <c r="AQ36" s="2" t="inlineStr"/>
      <c r="AR36" s="2" t="inlineStr"/>
      <c r="AS36" s="2" t="inlineStr">
        <is>
          <t>Verified HD facility</t>
        </is>
      </c>
      <c r="AT36" s="2" t="inlineStr">
        <is>
          <t>Tier_1</t>
        </is>
      </c>
      <c r="AU36" s="2" t="inlineStr">
        <is>
          <t>OBSERVED</t>
        </is>
      </c>
      <c r="AV36" s="2" t="inlineStr">
        <is>
          <t>Very High</t>
        </is>
      </c>
      <c r="AW36" s="2" t="inlineStr">
        <is>
          <t>SRC-WEB-027;SRC-WEB-028</t>
        </is>
      </c>
      <c r="AX36" s="2" t="inlineStr">
        <is>
          <t>https://pmc.ncbi.nlm.nih.gov/articles/PMC8791361/;https://pmc.ncbi.nlm.nih.gov/articles/PMC12133130/</t>
        </is>
      </c>
      <c r="AY36" s="2" t="inlineStr">
        <is>
          <t>Kuwait review and 2025 study confirm HD/acute dialysis services.</t>
        </is>
      </c>
      <c r="AZ36" s="2" t="inlineStr">
        <is>
          <t>SOURCE-VERIFIED HD SERVICE; CURRENT STATUS SHOULD BE RECHECKED WHERE SOURCE IS HISTORICAL</t>
        </is>
      </c>
      <c r="BA36" s="2" t="inlineStr">
        <is>
          <t>2026-08-10</t>
        </is>
      </c>
      <c r="BB36" s="2" t="inlineStr">
        <is>
          <t>ANALYST_SCENARIO</t>
        </is>
      </c>
      <c r="BC36" s="2" t="inlineStr">
        <is>
          <t>Analyst prioritization based on verified HD service; not observed market share.</t>
        </is>
      </c>
    </row>
    <row r="37">
      <c r="A37" s="2" t="inlineStr">
        <is>
          <t>KWT-F003</t>
        </is>
      </c>
      <c r="B37" s="2" t="inlineStr">
        <is>
          <t>Kuwait</t>
        </is>
      </c>
      <c r="C37" s="2" t="inlineStr">
        <is>
          <t>KWT</t>
        </is>
      </c>
      <c r="D37" s="2" t="inlineStr">
        <is>
          <t>Jahra Hospital</t>
        </is>
      </c>
      <c r="E37" s="2" t="inlineStr">
        <is>
          <t>Hospital_Dialysis_Unit</t>
        </is>
      </c>
      <c r="F37" s="2" t="inlineStr">
        <is>
          <t>Hospital-based HD</t>
        </is>
      </c>
      <c r="G37" s="2" t="inlineStr">
        <is>
          <t>Al Jahra</t>
        </is>
      </c>
      <c r="H37" s="2" t="inlineStr">
        <is>
          <t>Jahra</t>
        </is>
      </c>
      <c r="I37" s="2" t="inlineStr">
        <is>
          <t>Jahra</t>
        </is>
      </c>
      <c r="J37" s="2" t="inlineStr"/>
      <c r="K37" s="2" t="inlineStr"/>
      <c r="L37" s="2" t="inlineStr"/>
      <c r="M37" s="2" t="inlineStr"/>
      <c r="N37" s="2" t="inlineStr"/>
      <c r="O37" s="2" t="inlineStr">
        <is>
          <t>Government</t>
        </is>
      </c>
      <c r="P37" s="2" t="inlineStr">
        <is>
          <t>Government</t>
        </is>
      </c>
      <c r="Q37" s="2" t="inlineStr">
        <is>
          <t>Yes</t>
        </is>
      </c>
      <c r="R37" s="2" t="inlineStr"/>
      <c r="S37" s="2" t="inlineStr"/>
      <c r="T37" s="2" t="inlineStr"/>
      <c r="U37" s="2" t="inlineStr"/>
      <c r="V37" s="2" t="inlineStr"/>
      <c r="W37" s="2" t="inlineStr"/>
      <c r="X37" s="2" t="inlineStr"/>
      <c r="Y37" s="2" t="n"/>
      <c r="Z37" s="2" t="inlineStr"/>
      <c r="AA37" s="2" t="inlineStr"/>
      <c r="AB37" s="2" t="inlineStr"/>
      <c r="AC37" s="2" t="n"/>
      <c r="AD37" s="2" t="n"/>
      <c r="AE37" s="2" t="inlineStr"/>
      <c r="AF37" s="2" t="inlineStr"/>
      <c r="AG37" s="2" t="inlineStr"/>
      <c r="AH37" s="2" t="inlineStr"/>
      <c r="AI37" s="2" t="inlineStr"/>
      <c r="AJ37" s="2" t="inlineStr"/>
      <c r="AK37" s="2" t="inlineStr"/>
      <c r="AL37" s="2" t="inlineStr"/>
      <c r="AM37" s="2" t="inlineStr"/>
      <c r="AN37" s="2" t="inlineStr"/>
      <c r="AO37" s="2" t="inlineStr">
        <is>
          <t>Very_High</t>
        </is>
      </c>
      <c r="AP37" s="2" t="inlineStr"/>
      <c r="AQ37" s="2" t="inlineStr"/>
      <c r="AR37" s="2" t="inlineStr"/>
      <c r="AS37" s="2" t="inlineStr">
        <is>
          <t>Verified HD facility</t>
        </is>
      </c>
      <c r="AT37" s="2" t="inlineStr">
        <is>
          <t>Tier_1</t>
        </is>
      </c>
      <c r="AU37" s="2" t="inlineStr">
        <is>
          <t>OBSERVED</t>
        </is>
      </c>
      <c r="AV37" s="2" t="inlineStr">
        <is>
          <t>Very High</t>
        </is>
      </c>
      <c r="AW37" s="2" t="inlineStr">
        <is>
          <t>SRC-WEB-027;SRC-WEB-028</t>
        </is>
      </c>
      <c r="AX37" s="2" t="inlineStr">
        <is>
          <t>https://pmc.ncbi.nlm.nih.gov/articles/PMC8791361/;https://pmc.ncbi.nlm.nih.gov/articles/PMC12133130/</t>
        </is>
      </c>
      <c r="AY37" s="2" t="inlineStr">
        <is>
          <t>Kuwait review and 2025 study confirm HD/acute dialysis services and vascular access procedures.</t>
        </is>
      </c>
      <c r="AZ37" s="2" t="inlineStr">
        <is>
          <t>SOURCE-VERIFIED HD SERVICE; CURRENT STATUS SHOULD BE RECHECKED WHERE SOURCE IS HISTORICAL</t>
        </is>
      </c>
      <c r="BA37" s="2" t="inlineStr">
        <is>
          <t>2026-08-10</t>
        </is>
      </c>
      <c r="BB37" s="2" t="inlineStr">
        <is>
          <t>ANALYST_SCENARIO</t>
        </is>
      </c>
      <c r="BC37" s="2" t="inlineStr">
        <is>
          <t>Analyst prioritization based on verified HD service; not observed market share.</t>
        </is>
      </c>
    </row>
    <row r="38">
      <c r="A38" s="2" t="inlineStr">
        <is>
          <t>KWT-F004</t>
        </is>
      </c>
      <c r="B38" s="2" t="inlineStr">
        <is>
          <t>Kuwait</t>
        </is>
      </c>
      <c r="C38" s="2" t="inlineStr">
        <is>
          <t>KWT</t>
        </is>
      </c>
      <c r="D38" s="2" t="inlineStr">
        <is>
          <t>Al-Adan Hospital / Al Khozam Dialysis Unit</t>
        </is>
      </c>
      <c r="E38" s="2" t="inlineStr">
        <is>
          <t>Hospital_Dialysis_Unit</t>
        </is>
      </c>
      <c r="F38" s="2" t="inlineStr">
        <is>
          <t>Hospital-based HD</t>
        </is>
      </c>
      <c r="G38" s="2" t="inlineStr">
        <is>
          <t>Hadiya</t>
        </is>
      </c>
      <c r="H38" s="2" t="inlineStr">
        <is>
          <t>Ahmadi</t>
        </is>
      </c>
      <c r="I38" s="2" t="inlineStr">
        <is>
          <t>Ahmadi</t>
        </is>
      </c>
      <c r="J38" s="2" t="inlineStr"/>
      <c r="K38" s="2" t="inlineStr"/>
      <c r="L38" s="2" t="inlineStr"/>
      <c r="M38" s="2" t="inlineStr"/>
      <c r="N38" s="2" t="inlineStr"/>
      <c r="O38" s="2" t="inlineStr">
        <is>
          <t>Government</t>
        </is>
      </c>
      <c r="P38" s="2" t="inlineStr">
        <is>
          <t>Government</t>
        </is>
      </c>
      <c r="Q38" s="2" t="inlineStr">
        <is>
          <t>Yes</t>
        </is>
      </c>
      <c r="R38" s="2" t="inlineStr"/>
      <c r="S38" s="2" t="inlineStr"/>
      <c r="T38" s="2" t="inlineStr"/>
      <c r="U38" s="2" t="inlineStr"/>
      <c r="V38" s="2" t="inlineStr"/>
      <c r="W38" s="2" t="inlineStr"/>
      <c r="X38" s="2" t="inlineStr"/>
      <c r="Y38" s="2" t="n"/>
      <c r="Z38" s="2" t="inlineStr"/>
      <c r="AA38" s="2" t="inlineStr"/>
      <c r="AB38" s="2" t="inlineStr"/>
      <c r="AC38" s="2" t="n"/>
      <c r="AD38" s="2" t="n"/>
      <c r="AE38" s="2" t="inlineStr"/>
      <c r="AF38" s="2" t="inlineStr"/>
      <c r="AG38" s="2" t="inlineStr"/>
      <c r="AH38" s="2" t="inlineStr"/>
      <c r="AI38" s="2" t="inlineStr"/>
      <c r="AJ38" s="2" t="inlineStr"/>
      <c r="AK38" s="2" t="inlineStr"/>
      <c r="AL38" s="2" t="inlineStr"/>
      <c r="AM38" s="2" t="inlineStr"/>
      <c r="AN38" s="2" t="inlineStr"/>
      <c r="AO38" s="2" t="inlineStr">
        <is>
          <t>Unknown</t>
        </is>
      </c>
      <c r="AP38" s="2" t="inlineStr"/>
      <c r="AQ38" s="2" t="inlineStr"/>
      <c r="AR38" s="2" t="inlineStr"/>
      <c r="AS38" s="2" t="inlineStr">
        <is>
          <t>Verified HD facility</t>
        </is>
      </c>
      <c r="AT38" s="2" t="inlineStr">
        <is>
          <t>Tier_1</t>
        </is>
      </c>
      <c r="AU38" s="2" t="inlineStr">
        <is>
          <t>OBSERVED</t>
        </is>
      </c>
      <c r="AV38" s="2" t="inlineStr">
        <is>
          <t>Very High</t>
        </is>
      </c>
      <c r="AW38" s="2" t="inlineStr">
        <is>
          <t>SRC-WEB-027;SRC-WEB-028;SRC-WEB-029</t>
        </is>
      </c>
      <c r="AX38" s="2" t="inlineStr">
        <is>
          <t>https://pmc.ncbi.nlm.nih.gov/articles/PMC8791361/;https://pmc.ncbi.nlm.nih.gov/articles/PMC12133130/;https://pmc.ncbi.nlm.nih.gov/articles/PMC6170898/</t>
        </is>
      </c>
      <c r="AY38" s="2" t="inlineStr">
        <is>
          <t>Al Khozam outpatient dialysis unit at Al-Adan Hospital has 60 HD beds and 8 PD beds; beds are not treated as stations.</t>
        </is>
      </c>
      <c r="AZ38" s="2" t="inlineStr">
        <is>
          <t>SOURCE-VERIFIED HD SERVICE; CURRENT STATUS SHOULD BE RECHECKED WHERE SOURCE IS HISTORICAL</t>
        </is>
      </c>
      <c r="BA38" s="2" t="inlineStr">
        <is>
          <t>2026-08-10</t>
        </is>
      </c>
      <c r="BB38" s="2" t="inlineStr">
        <is>
          <t>ANALYST_SCENARIO</t>
        </is>
      </c>
      <c r="BC38" s="2" t="inlineStr">
        <is>
          <t>Analyst prioritization based on verified HD service; not observed market share.</t>
        </is>
      </c>
    </row>
    <row r="39">
      <c r="A39" s="2" t="inlineStr">
        <is>
          <t>KWT-F005</t>
        </is>
      </c>
      <c r="B39" s="2" t="inlineStr">
        <is>
          <t>Kuwait</t>
        </is>
      </c>
      <c r="C39" s="2" t="inlineStr">
        <is>
          <t>KWT</t>
        </is>
      </c>
      <c r="D39" s="2" t="inlineStr">
        <is>
          <t>Farwaniya Hospital</t>
        </is>
      </c>
      <c r="E39" s="2" t="inlineStr">
        <is>
          <t>Hospital_Dialysis_Unit</t>
        </is>
      </c>
      <c r="F39" s="2" t="inlineStr">
        <is>
          <t>Hospital-based HD</t>
        </is>
      </c>
      <c r="G39" s="2" t="inlineStr">
        <is>
          <t>Sabah Al Nasser</t>
        </is>
      </c>
      <c r="H39" s="2" t="inlineStr">
        <is>
          <t>Farwaniya</t>
        </is>
      </c>
      <c r="I39" s="2" t="inlineStr">
        <is>
          <t>Farwaniya</t>
        </is>
      </c>
      <c r="J39" s="2" t="inlineStr"/>
      <c r="K39" s="2" t="inlineStr"/>
      <c r="L39" s="2" t="inlineStr"/>
      <c r="M39" s="2" t="inlineStr"/>
      <c r="N39" s="2" t="inlineStr"/>
      <c r="O39" s="2" t="inlineStr">
        <is>
          <t>Government</t>
        </is>
      </c>
      <c r="P39" s="2" t="inlineStr">
        <is>
          <t>Government</t>
        </is>
      </c>
      <c r="Q39" s="2" t="inlineStr">
        <is>
          <t>Yes</t>
        </is>
      </c>
      <c r="R39" s="2" t="inlineStr"/>
      <c r="S39" s="2" t="inlineStr"/>
      <c r="T39" s="2" t="inlineStr"/>
      <c r="U39" s="2" t="inlineStr"/>
      <c r="V39" s="2" t="inlineStr"/>
      <c r="W39" s="2" t="inlineStr"/>
      <c r="X39" s="2" t="inlineStr"/>
      <c r="Y39" s="2" t="n"/>
      <c r="Z39" s="2" t="inlineStr"/>
      <c r="AA39" s="2" t="inlineStr"/>
      <c r="AB39" s="2" t="inlineStr"/>
      <c r="AC39" s="2" t="n"/>
      <c r="AD39" s="2" t="n"/>
      <c r="AE39" s="2" t="inlineStr"/>
      <c r="AF39" s="2" t="inlineStr"/>
      <c r="AG39" s="2" t="inlineStr"/>
      <c r="AH39" s="2" t="inlineStr"/>
      <c r="AI39" s="2" t="inlineStr"/>
      <c r="AJ39" s="2" t="inlineStr"/>
      <c r="AK39" s="2" t="inlineStr"/>
      <c r="AL39" s="2" t="inlineStr"/>
      <c r="AM39" s="2" t="inlineStr"/>
      <c r="AN39" s="2" t="inlineStr"/>
      <c r="AO39" s="2" t="inlineStr">
        <is>
          <t>High</t>
        </is>
      </c>
      <c r="AP39" s="2" t="inlineStr"/>
      <c r="AQ39" s="2" t="inlineStr"/>
      <c r="AR39" s="2" t="inlineStr"/>
      <c r="AS39" s="2" t="inlineStr">
        <is>
          <t>Verified HD facility</t>
        </is>
      </c>
      <c r="AT39" s="2" t="inlineStr">
        <is>
          <t>Tier_1</t>
        </is>
      </c>
      <c r="AU39" s="2" t="inlineStr">
        <is>
          <t>OBSERVED</t>
        </is>
      </c>
      <c r="AV39" s="2" t="inlineStr">
        <is>
          <t>Very High</t>
        </is>
      </c>
      <c r="AW39" s="2" t="inlineStr">
        <is>
          <t>SRC-WEB-028</t>
        </is>
      </c>
      <c r="AX39" s="2" t="inlineStr">
        <is>
          <t>https://pmc.ncbi.nlm.nih.gov/articles/PMC12133130/</t>
        </is>
      </c>
      <c r="AY39" s="2" t="inlineStr">
        <is>
          <t>2025 multicenter study identifies Division of Nephrology at Farwaniya Hospital and dialysis care.</t>
        </is>
      </c>
      <c r="AZ39" s="2" t="inlineStr">
        <is>
          <t>SOURCE-VERIFIED HD SERVICE; CURRENT STATUS SHOULD BE RECHECKED WHERE SOURCE IS HISTORICAL</t>
        </is>
      </c>
      <c r="BA39" s="2" t="inlineStr">
        <is>
          <t>2026-08-10</t>
        </is>
      </c>
      <c r="BB39" s="2" t="inlineStr">
        <is>
          <t>ANALYST_SCENARIO</t>
        </is>
      </c>
      <c r="BC39" s="2" t="inlineStr">
        <is>
          <t>Analyst prioritization based on verified HD service; not observed market share.</t>
        </is>
      </c>
    </row>
    <row r="40">
      <c r="A40" s="2" t="inlineStr">
        <is>
          <t>KWT-F006</t>
        </is>
      </c>
      <c r="B40" s="2" t="inlineStr">
        <is>
          <t>Kuwait</t>
        </is>
      </c>
      <c r="C40" s="2" t="inlineStr">
        <is>
          <t>KWT</t>
        </is>
      </c>
      <c r="D40" s="2" t="inlineStr">
        <is>
          <t>Jaber Hospital</t>
        </is>
      </c>
      <c r="E40" s="2" t="inlineStr">
        <is>
          <t>Hospital_Dialysis_Unit</t>
        </is>
      </c>
      <c r="F40" s="2" t="inlineStr">
        <is>
          <t>Hospital-based HD</t>
        </is>
      </c>
      <c r="G40" s="2" t="inlineStr">
        <is>
          <t>Kuwait City</t>
        </is>
      </c>
      <c r="H40" s="2" t="inlineStr">
        <is>
          <t>Capital</t>
        </is>
      </c>
      <c r="I40" s="2" t="inlineStr">
        <is>
          <t>Capital</t>
        </is>
      </c>
      <c r="J40" s="2" t="inlineStr"/>
      <c r="K40" s="2" t="inlineStr"/>
      <c r="L40" s="2" t="inlineStr"/>
      <c r="M40" s="2" t="inlineStr"/>
      <c r="N40" s="2" t="inlineStr"/>
      <c r="O40" s="2" t="inlineStr">
        <is>
          <t>Government</t>
        </is>
      </c>
      <c r="P40" s="2" t="inlineStr">
        <is>
          <t>Government</t>
        </is>
      </c>
      <c r="Q40" s="2" t="inlineStr">
        <is>
          <t>Yes</t>
        </is>
      </c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n"/>
      <c r="Z40" s="2" t="inlineStr"/>
      <c r="AA40" s="2" t="inlineStr"/>
      <c r="AB40" s="2" t="inlineStr"/>
      <c r="AC40" s="2" t="n"/>
      <c r="AD40" s="2" t="n"/>
      <c r="AE40" s="2" t="inlineStr"/>
      <c r="AF40" s="2" t="inlineStr"/>
      <c r="AG40" s="2" t="inlineStr"/>
      <c r="AH40" s="2" t="inlineStr"/>
      <c r="AI40" s="2" t="inlineStr"/>
      <c r="AJ40" s="2" t="inlineStr"/>
      <c r="AK40" s="2" t="inlineStr"/>
      <c r="AL40" s="2" t="inlineStr"/>
      <c r="AM40" s="2" t="inlineStr"/>
      <c r="AN40" s="2" t="inlineStr"/>
      <c r="AO40" s="2" t="inlineStr">
        <is>
          <t>High</t>
        </is>
      </c>
      <c r="AP40" s="2" t="inlineStr"/>
      <c r="AQ40" s="2" t="inlineStr"/>
      <c r="AR40" s="2" t="inlineStr"/>
      <c r="AS40" s="2" t="inlineStr">
        <is>
          <t>Verified HD facility</t>
        </is>
      </c>
      <c r="AT40" s="2" t="inlineStr">
        <is>
          <t>Tier_1</t>
        </is>
      </c>
      <c r="AU40" s="2" t="inlineStr">
        <is>
          <t>OBSERVED</t>
        </is>
      </c>
      <c r="AV40" s="2" t="inlineStr">
        <is>
          <t>Very High</t>
        </is>
      </c>
      <c r="AW40" s="2" t="inlineStr">
        <is>
          <t>SRC-WEB-028</t>
        </is>
      </c>
      <c r="AX40" s="2" t="inlineStr">
        <is>
          <t>https://pmc.ncbi.nlm.nih.gov/articles/PMC12133130/</t>
        </is>
      </c>
      <c r="AY40" s="2" t="inlineStr">
        <is>
          <t>2025 multicenter study identifies Division of Nephrology at Jaber Hospital and dialysis care.</t>
        </is>
      </c>
      <c r="AZ40" s="2" t="inlineStr">
        <is>
          <t>SOURCE-VERIFIED HD SERVICE; CURRENT STATUS SHOULD BE RECHECKED WHERE SOURCE IS HISTORICAL</t>
        </is>
      </c>
      <c r="BA40" s="2" t="inlineStr">
        <is>
          <t>2026-08-10</t>
        </is>
      </c>
      <c r="BB40" s="2" t="inlineStr">
        <is>
          <t>ANALYST_SCENARIO</t>
        </is>
      </c>
      <c r="BC40" s="2" t="inlineStr">
        <is>
          <t>Analyst prioritization based on verified HD service; not observed market share.</t>
        </is>
      </c>
    </row>
    <row r="41">
      <c r="A41" s="2" t="inlineStr">
        <is>
          <t>KWT-F007</t>
        </is>
      </c>
      <c r="B41" s="2" t="inlineStr">
        <is>
          <t>Kuwait</t>
        </is>
      </c>
      <c r="C41" s="2" t="inlineStr">
        <is>
          <t>KWT</t>
        </is>
      </c>
      <c r="D41" s="2" t="inlineStr">
        <is>
          <t>Chest Diseases Hospital</t>
        </is>
      </c>
      <c r="E41" s="2" t="inlineStr">
        <is>
          <t>Hospital_Dialysis_Unit</t>
        </is>
      </c>
      <c r="F41" s="2" t="inlineStr">
        <is>
          <t>Hospital-based HD</t>
        </is>
      </c>
      <c r="G41" s="2" t="inlineStr">
        <is>
          <t>Kuwait City</t>
        </is>
      </c>
      <c r="H41" s="2" t="inlineStr">
        <is>
          <t>Capital</t>
        </is>
      </c>
      <c r="I41" s="2" t="inlineStr">
        <is>
          <t>Capital</t>
        </is>
      </c>
      <c r="J41" s="2" t="inlineStr"/>
      <c r="K41" s="2" t="inlineStr"/>
      <c r="L41" s="2" t="inlineStr"/>
      <c r="M41" s="2" t="inlineStr"/>
      <c r="N41" s="2" t="inlineStr"/>
      <c r="O41" s="2" t="inlineStr">
        <is>
          <t>Government</t>
        </is>
      </c>
      <c r="P41" s="2" t="inlineStr">
        <is>
          <t>Government</t>
        </is>
      </c>
      <c r="Q41" s="2" t="inlineStr">
        <is>
          <t>Yes</t>
        </is>
      </c>
      <c r="R41" s="2" t="inlineStr"/>
      <c r="S41" s="2" t="inlineStr"/>
      <c r="T41" s="2" t="inlineStr"/>
      <c r="U41" s="2" t="inlineStr"/>
      <c r="V41" s="2" t="inlineStr"/>
      <c r="W41" s="2" t="inlineStr"/>
      <c r="X41" s="2" t="inlineStr"/>
      <c r="Y41" s="2" t="n"/>
      <c r="Z41" s="2" t="inlineStr"/>
      <c r="AA41" s="2" t="inlineStr"/>
      <c r="AB41" s="2" t="inlineStr"/>
      <c r="AC41" s="2" t="n"/>
      <c r="AD41" s="2" t="n"/>
      <c r="AE41" s="2" t="inlineStr"/>
      <c r="AF41" s="2" t="inlineStr"/>
      <c r="AG41" s="2" t="inlineStr"/>
      <c r="AH41" s="2" t="inlineStr"/>
      <c r="AI41" s="2" t="inlineStr"/>
      <c r="AJ41" s="2" t="inlineStr"/>
      <c r="AK41" s="2" t="inlineStr"/>
      <c r="AL41" s="2" t="inlineStr"/>
      <c r="AM41" s="2" t="inlineStr"/>
      <c r="AN41" s="2" t="inlineStr"/>
      <c r="AO41" s="2" t="inlineStr">
        <is>
          <t>Medium</t>
        </is>
      </c>
      <c r="AP41" s="2" t="inlineStr"/>
      <c r="AQ41" s="2" t="inlineStr"/>
      <c r="AR41" s="2" t="inlineStr"/>
      <c r="AS41" s="2" t="inlineStr">
        <is>
          <t>Verified HD facility</t>
        </is>
      </c>
      <c r="AT41" s="2" t="inlineStr">
        <is>
          <t>Tier_2</t>
        </is>
      </c>
      <c r="AU41" s="2" t="inlineStr">
        <is>
          <t>OBSERVED</t>
        </is>
      </c>
      <c r="AV41" s="2" t="inlineStr">
        <is>
          <t>Very High</t>
        </is>
      </c>
      <c r="AW41" s="2" t="inlineStr">
        <is>
          <t>SRC-WEB-028</t>
        </is>
      </c>
      <c r="AX41" s="2" t="inlineStr">
        <is>
          <t>https://pmc.ncbi.nlm.nih.gov/articles/PMC12133130/</t>
        </is>
      </c>
      <c r="AY41" s="2" t="inlineStr">
        <is>
          <t>2025 multicenter study includes Chest Diseases Hospital in the seven-hospital MOH dialysis study.</t>
        </is>
      </c>
      <c r="AZ41" s="2" t="inlineStr">
        <is>
          <t>SOURCE-VERIFIED HD SERVICE; CURRENT STATUS SHOULD BE RECHECKED WHERE SOURCE IS HISTORICAL</t>
        </is>
      </c>
      <c r="BA41" s="2" t="inlineStr">
        <is>
          <t>2026-08-10</t>
        </is>
      </c>
      <c r="BB41" s="2" t="inlineStr">
        <is>
          <t>ANALYST_SCENARIO</t>
        </is>
      </c>
      <c r="BC41" s="2" t="inlineStr">
        <is>
          <t>Analyst prioritization based on verified HD service; not observed market share.</t>
        </is>
      </c>
    </row>
    <row r="42">
      <c r="A42" s="2" t="inlineStr">
        <is>
          <t>KWT-F008</t>
        </is>
      </c>
      <c r="B42" s="2" t="inlineStr">
        <is>
          <t>Kuwait</t>
        </is>
      </c>
      <c r="C42" s="2" t="inlineStr">
        <is>
          <t>KWT</t>
        </is>
      </c>
      <c r="D42" s="2" t="inlineStr">
        <is>
          <t>Kuwait Ministry of Defense Hospital</t>
        </is>
      </c>
      <c r="E42" s="2" t="inlineStr">
        <is>
          <t>Hospital_Dialysis_Unit</t>
        </is>
      </c>
      <c r="F42" s="2" t="inlineStr">
        <is>
          <t>Hospital-based HD</t>
        </is>
      </c>
      <c r="G42" s="2" t="inlineStr">
        <is>
          <t>Kuwait City</t>
        </is>
      </c>
      <c r="H42" s="2" t="inlineStr">
        <is>
          <t>Capital</t>
        </is>
      </c>
      <c r="I42" s="2" t="inlineStr">
        <is>
          <t>Capital</t>
        </is>
      </c>
      <c r="J42" s="2" t="inlineStr"/>
      <c r="K42" s="2" t="inlineStr"/>
      <c r="L42" s="2" t="inlineStr"/>
      <c r="M42" s="2" t="inlineStr"/>
      <c r="N42" s="2" t="inlineStr"/>
      <c r="O42" s="2" t="inlineStr">
        <is>
          <t>Military</t>
        </is>
      </c>
      <c r="P42" s="2" t="inlineStr">
        <is>
          <t>Military</t>
        </is>
      </c>
      <c r="Q42" s="2" t="inlineStr">
        <is>
          <t>Yes</t>
        </is>
      </c>
      <c r="R42" s="2" t="inlineStr"/>
      <c r="S42" s="2" t="inlineStr"/>
      <c r="T42" s="2" t="inlineStr"/>
      <c r="U42" s="2" t="inlineStr"/>
      <c r="V42" s="2" t="inlineStr"/>
      <c r="W42" s="2" t="inlineStr"/>
      <c r="X42" s="2" t="inlineStr"/>
      <c r="Y42" s="2" t="n"/>
      <c r="Z42" s="2" t="inlineStr"/>
      <c r="AA42" s="2" t="inlineStr"/>
      <c r="AB42" s="2" t="inlineStr"/>
      <c r="AC42" s="2" t="n"/>
      <c r="AD42" s="2" t="n"/>
      <c r="AE42" s="2" t="inlineStr"/>
      <c r="AF42" s="2" t="inlineStr"/>
      <c r="AG42" s="2" t="inlineStr"/>
      <c r="AH42" s="2" t="inlineStr"/>
      <c r="AI42" s="2" t="inlineStr"/>
      <c r="AJ42" s="2" t="inlineStr"/>
      <c r="AK42" s="2" t="inlineStr"/>
      <c r="AL42" s="2" t="inlineStr"/>
      <c r="AM42" s="2" t="inlineStr"/>
      <c r="AN42" s="2" t="inlineStr"/>
      <c r="AO42" s="2" t="inlineStr">
        <is>
          <t>High</t>
        </is>
      </c>
      <c r="AP42" s="2" t="inlineStr"/>
      <c r="AQ42" s="2" t="inlineStr"/>
      <c r="AR42" s="2" t="inlineStr"/>
      <c r="AS42" s="2" t="inlineStr">
        <is>
          <t>Verified HD facility</t>
        </is>
      </c>
      <c r="AT42" s="2" t="inlineStr">
        <is>
          <t>Tier_2</t>
        </is>
      </c>
      <c r="AU42" s="2" t="inlineStr">
        <is>
          <t>OBSERVED</t>
        </is>
      </c>
      <c r="AV42" s="2" t="inlineStr">
        <is>
          <t>Very High</t>
        </is>
      </c>
      <c r="AW42" s="2" t="inlineStr">
        <is>
          <t>SRC-WEB-027</t>
        </is>
      </c>
      <c r="AX42" s="2" t="inlineStr">
        <is>
          <t>https://pmc.ncbi.nlm.nih.gov/articles/PMC8791361/</t>
        </is>
      </c>
      <c r="AY42" s="2" t="inlineStr">
        <is>
          <t>Kuwait review states military hospital provides chronic and acute HD for Ministry of Defense personnel and families; no PD.</t>
        </is>
      </c>
      <c r="AZ42" s="2" t="inlineStr">
        <is>
          <t>SOURCE-VERIFIED HD SERVICE; CURRENT STATUS SHOULD BE RECHECKED WHERE SOURCE IS HISTORICAL</t>
        </is>
      </c>
      <c r="BA42" s="2" t="inlineStr">
        <is>
          <t>2026-08-10</t>
        </is>
      </c>
      <c r="BB42" s="2" t="inlineStr">
        <is>
          <t>ANALYST_SCENARIO</t>
        </is>
      </c>
      <c r="BC42" s="2" t="inlineStr">
        <is>
          <t>Analyst prioritization based on verified HD service; not observed market share.</t>
        </is>
      </c>
    </row>
    <row r="43">
      <c r="A43" s="2" t="inlineStr">
        <is>
          <t>KWT-F009</t>
        </is>
      </c>
      <c r="B43" s="2" t="inlineStr">
        <is>
          <t>Kuwait</t>
        </is>
      </c>
      <c r="C43" s="2" t="inlineStr">
        <is>
          <t>KWT</t>
        </is>
      </c>
      <c r="D43" s="2" t="inlineStr">
        <is>
          <t>Kuwait Oil Company Hospital</t>
        </is>
      </c>
      <c r="E43" s="2" t="inlineStr">
        <is>
          <t>Hospital_Dialysis_Unit</t>
        </is>
      </c>
      <c r="F43" s="2" t="inlineStr">
        <is>
          <t>Hospital-based HD</t>
        </is>
      </c>
      <c r="G43" s="2" t="inlineStr">
        <is>
          <t>Ahmadi</t>
        </is>
      </c>
      <c r="H43" s="2" t="inlineStr">
        <is>
          <t>Ahmadi</t>
        </is>
      </c>
      <c r="I43" s="2" t="inlineStr">
        <is>
          <t>Ahmadi</t>
        </is>
      </c>
      <c r="J43" s="2" t="inlineStr"/>
      <c r="K43" s="2" t="inlineStr"/>
      <c r="L43" s="2" t="inlineStr"/>
      <c r="M43" s="2" t="inlineStr"/>
      <c r="N43" s="2" t="inlineStr"/>
      <c r="O43" s="2" t="inlineStr">
        <is>
          <t>Government</t>
        </is>
      </c>
      <c r="P43" s="2" t="inlineStr">
        <is>
          <t>Government</t>
        </is>
      </c>
      <c r="Q43" s="2" t="inlineStr">
        <is>
          <t>Yes</t>
        </is>
      </c>
      <c r="R43" s="2" t="inlineStr"/>
      <c r="S43" s="2" t="inlineStr"/>
      <c r="T43" s="2" t="inlineStr"/>
      <c r="U43" s="2" t="inlineStr"/>
      <c r="V43" s="2" t="inlineStr"/>
      <c r="W43" s="2" t="inlineStr"/>
      <c r="X43" s="2" t="inlineStr"/>
      <c r="Y43" s="2" t="n"/>
      <c r="Z43" s="2" t="inlineStr"/>
      <c r="AA43" s="2" t="inlineStr"/>
      <c r="AB43" s="2" t="inlineStr"/>
      <c r="AC43" s="2" t="n"/>
      <c r="AD43" s="2" t="n"/>
      <c r="AE43" s="2" t="inlineStr"/>
      <c r="AF43" s="2" t="inlineStr"/>
      <c r="AG43" s="2" t="inlineStr"/>
      <c r="AH43" s="2" t="inlineStr"/>
      <c r="AI43" s="2" t="inlineStr"/>
      <c r="AJ43" s="2" t="inlineStr"/>
      <c r="AK43" s="2" t="inlineStr"/>
      <c r="AL43" s="2" t="inlineStr"/>
      <c r="AM43" s="2" t="inlineStr"/>
      <c r="AN43" s="2" t="inlineStr"/>
      <c r="AO43" s="2" t="inlineStr">
        <is>
          <t>Medium</t>
        </is>
      </c>
      <c r="AP43" s="2" t="inlineStr"/>
      <c r="AQ43" s="2" t="inlineStr"/>
      <c r="AR43" s="2" t="inlineStr"/>
      <c r="AS43" s="2" t="inlineStr">
        <is>
          <t>Verified HD facility</t>
        </is>
      </c>
      <c r="AT43" s="2" t="inlineStr">
        <is>
          <t>Tier_2</t>
        </is>
      </c>
      <c r="AU43" s="2" t="inlineStr">
        <is>
          <t>OBSERVED</t>
        </is>
      </c>
      <c r="AV43" s="2" t="inlineStr">
        <is>
          <t>Very High</t>
        </is>
      </c>
      <c r="AW43" s="2" t="inlineStr">
        <is>
          <t>SRC-WEB-027</t>
        </is>
      </c>
      <c r="AX43" s="2" t="inlineStr">
        <is>
          <t>https://pmc.ncbi.nlm.nih.gov/articles/PMC8791361/</t>
        </is>
      </c>
      <c r="AY43" s="2" t="inlineStr">
        <is>
          <t>Kuwait review states KOC hospital provides free outpatient and acute dialysis services for company employees/families; no chronic HD.</t>
        </is>
      </c>
      <c r="AZ43" s="2" t="inlineStr">
        <is>
          <t>SOURCE-VERIFIED HD SERVICE; CURRENT STATUS SHOULD BE RECHECKED WHERE SOURCE IS HISTORICAL</t>
        </is>
      </c>
      <c r="BA43" s="2" t="inlineStr">
        <is>
          <t>2026-08-10</t>
        </is>
      </c>
      <c r="BB43" s="2" t="inlineStr">
        <is>
          <t>ANALYST_SCENARIO</t>
        </is>
      </c>
      <c r="BC43" s="2" t="inlineStr">
        <is>
          <t>Analyst prioritization based on verified HD service; not observed market share.</t>
        </is>
      </c>
    </row>
    <row r="44">
      <c r="A44" s="2" t="inlineStr">
        <is>
          <t>OMN-F001</t>
        </is>
      </c>
      <c r="B44" s="2" t="inlineStr">
        <is>
          <t>Oman</t>
        </is>
      </c>
      <c r="C44" s="2" t="inlineStr">
        <is>
          <t>OMN</t>
        </is>
      </c>
      <c r="D44" s="2" t="inlineStr">
        <is>
          <t>Sultan Qaboos University Hospital</t>
        </is>
      </c>
      <c r="E44" s="2" t="inlineStr">
        <is>
          <t>Hospital_Dialysis_Unit</t>
        </is>
      </c>
      <c r="F44" s="2" t="inlineStr">
        <is>
          <t>Hospital-based HD</t>
        </is>
      </c>
      <c r="G44" s="2" t="inlineStr">
        <is>
          <t>Muscat</t>
        </is>
      </c>
      <c r="H44" s="2" t="inlineStr">
        <is>
          <t>Muscat</t>
        </is>
      </c>
      <c r="I44" s="2" t="inlineStr">
        <is>
          <t>Muscat</t>
        </is>
      </c>
      <c r="J44" s="2" t="inlineStr"/>
      <c r="K44" s="2" t="inlineStr"/>
      <c r="L44" s="2" t="inlineStr"/>
      <c r="M44" s="2" t="inlineStr"/>
      <c r="N44" s="2" t="inlineStr"/>
      <c r="O44" s="2" t="inlineStr">
        <is>
          <t>University</t>
        </is>
      </c>
      <c r="P44" s="2" t="inlineStr">
        <is>
          <t>University</t>
        </is>
      </c>
      <c r="Q44" s="2" t="inlineStr">
        <is>
          <t>Yes</t>
        </is>
      </c>
      <c r="R44" s="2" t="inlineStr"/>
      <c r="S44" s="2" t="inlineStr"/>
      <c r="T44" s="2" t="inlineStr"/>
      <c r="U44" s="2" t="inlineStr"/>
      <c r="V44" s="2" t="inlineStr"/>
      <c r="W44" s="2" t="inlineStr"/>
      <c r="X44" s="2" t="inlineStr"/>
      <c r="Y44" s="2" t="n"/>
      <c r="Z44" s="2" t="inlineStr"/>
      <c r="AA44" s="2" t="inlineStr"/>
      <c r="AB44" s="2" t="inlineStr"/>
      <c r="AC44" s="2" t="n"/>
      <c r="AD44" s="2" t="n"/>
      <c r="AE44" s="2" t="inlineStr"/>
      <c r="AF44" s="2" t="inlineStr"/>
      <c r="AG44" s="2" t="inlineStr"/>
      <c r="AH44" s="2" t="inlineStr"/>
      <c r="AI44" s="2" t="inlineStr"/>
      <c r="AJ44" s="2" t="inlineStr"/>
      <c r="AK44" s="2" t="inlineStr"/>
      <c r="AL44" s="2" t="inlineStr"/>
      <c r="AM44" s="2" t="inlineStr"/>
      <c r="AN44" s="2" t="inlineStr"/>
      <c r="AO44" s="2" t="inlineStr">
        <is>
          <t>Medium</t>
        </is>
      </c>
      <c r="AP44" s="2" t="inlineStr"/>
      <c r="AQ44" s="2" t="inlineStr"/>
      <c r="AR44" s="2" t="inlineStr"/>
      <c r="AS44" s="2" t="inlineStr">
        <is>
          <t>Verified HD facility</t>
        </is>
      </c>
      <c r="AT44" s="2" t="inlineStr">
        <is>
          <t>Tier_2</t>
        </is>
      </c>
      <c r="AU44" s="2" t="inlineStr">
        <is>
          <t>OBSERVED</t>
        </is>
      </c>
      <c r="AV44" s="2" t="inlineStr">
        <is>
          <t>Very High</t>
        </is>
      </c>
      <c r="AW44" s="2" t="inlineStr">
        <is>
          <t>SRC-WEB-030</t>
        </is>
      </c>
      <c r="AX44" s="2" t="inlineStr">
        <is>
          <t>https://pmc.ncbi.nlm.nih.gov/articles/PMC5678924/</t>
        </is>
      </c>
      <c r="AY44" s="2" t="inlineStr">
        <is>
          <t>Historical 2013 dialysis facility; current status should be rechecked.</t>
        </is>
      </c>
      <c r="AZ44" s="2" t="inlineStr">
        <is>
          <t>SOURCE-VERIFIED HD SERVICE; CURRENT STATUS SHOULD BE RECHECKED WHERE SOURCE IS HISTORICAL</t>
        </is>
      </c>
      <c r="BA44" s="2" t="inlineStr">
        <is>
          <t>2026-08-10</t>
        </is>
      </c>
      <c r="BB44" s="2" t="inlineStr">
        <is>
          <t>ANALYST_SCENARIO</t>
        </is>
      </c>
      <c r="BC44" s="2" t="inlineStr">
        <is>
          <t>Analyst prioritization based on verified HD service; not observed market share.</t>
        </is>
      </c>
    </row>
    <row r="45">
      <c r="A45" s="2" t="inlineStr">
        <is>
          <t>OMN-F002</t>
        </is>
      </c>
      <c r="B45" s="2" t="inlineStr">
        <is>
          <t>Oman</t>
        </is>
      </c>
      <c r="C45" s="2" t="inlineStr">
        <is>
          <t>OMN</t>
        </is>
      </c>
      <c r="D45" s="2" t="inlineStr">
        <is>
          <t>Royal Hospital</t>
        </is>
      </c>
      <c r="E45" s="2" t="inlineStr">
        <is>
          <t>Hospital_Dialysis_Unit</t>
        </is>
      </c>
      <c r="F45" s="2" t="inlineStr">
        <is>
          <t>Hospital-based HD</t>
        </is>
      </c>
      <c r="G45" s="2" t="inlineStr">
        <is>
          <t>Muscat</t>
        </is>
      </c>
      <c r="H45" s="2" t="inlineStr">
        <is>
          <t>Muscat</t>
        </is>
      </c>
      <c r="I45" s="2" t="inlineStr">
        <is>
          <t>Muscat</t>
        </is>
      </c>
      <c r="J45" s="2" t="inlineStr"/>
      <c r="K45" s="2" t="inlineStr"/>
      <c r="L45" s="2" t="inlineStr"/>
      <c r="M45" s="2" t="inlineStr"/>
      <c r="N45" s="2" t="inlineStr"/>
      <c r="O45" s="2" t="inlineStr">
        <is>
          <t>Government</t>
        </is>
      </c>
      <c r="P45" s="2" t="inlineStr">
        <is>
          <t>Government</t>
        </is>
      </c>
      <c r="Q45" s="2" t="inlineStr">
        <is>
          <t>Yes</t>
        </is>
      </c>
      <c r="R45" s="2" t="inlineStr"/>
      <c r="S45" s="2" t="inlineStr"/>
      <c r="T45" s="2" t="inlineStr"/>
      <c r="U45" s="2" t="inlineStr"/>
      <c r="V45" s="2" t="inlineStr"/>
      <c r="W45" s="2" t="inlineStr"/>
      <c r="X45" s="2" t="inlineStr"/>
      <c r="Y45" s="2" t="n"/>
      <c r="Z45" s="2" t="inlineStr"/>
      <c r="AA45" s="2" t="inlineStr"/>
      <c r="AB45" s="2" t="inlineStr"/>
      <c r="AC45" s="2" t="n"/>
      <c r="AD45" s="2" t="n"/>
      <c r="AE45" s="2" t="inlineStr"/>
      <c r="AF45" s="2" t="inlineStr"/>
      <c r="AG45" s="2" t="inlineStr"/>
      <c r="AH45" s="2" t="inlineStr"/>
      <c r="AI45" s="2" t="inlineStr"/>
      <c r="AJ45" s="2" t="inlineStr"/>
      <c r="AK45" s="2" t="inlineStr"/>
      <c r="AL45" s="2" t="inlineStr"/>
      <c r="AM45" s="2" t="inlineStr"/>
      <c r="AN45" s="2" t="inlineStr"/>
      <c r="AO45" s="2" t="inlineStr">
        <is>
          <t>Medium</t>
        </is>
      </c>
      <c r="AP45" s="2" t="inlineStr"/>
      <c r="AQ45" s="2" t="inlineStr"/>
      <c r="AR45" s="2" t="inlineStr"/>
      <c r="AS45" s="2" t="inlineStr">
        <is>
          <t>Verified HD facility</t>
        </is>
      </c>
      <c r="AT45" s="2" t="inlineStr">
        <is>
          <t>Tier_2</t>
        </is>
      </c>
      <c r="AU45" s="2" t="inlineStr">
        <is>
          <t>OBSERVED</t>
        </is>
      </c>
      <c r="AV45" s="2" t="inlineStr">
        <is>
          <t>Very High</t>
        </is>
      </c>
      <c r="AW45" s="2" t="inlineStr">
        <is>
          <t>SRC-WEB-030</t>
        </is>
      </c>
      <c r="AX45" s="2" t="inlineStr">
        <is>
          <t>https://pmc.ncbi.nlm.nih.gov/articles/PMC5678924/</t>
        </is>
      </c>
      <c r="AY45" s="2" t="inlineStr">
        <is>
          <t>Historical 2013 dialysis facility; current status should be rechecked.</t>
        </is>
      </c>
      <c r="AZ45" s="2" t="inlineStr">
        <is>
          <t>SOURCE-VERIFIED HD SERVICE; CURRENT STATUS SHOULD BE RECHECKED WHERE SOURCE IS HISTORICAL</t>
        </is>
      </c>
      <c r="BA45" s="2" t="inlineStr">
        <is>
          <t>2026-08-10</t>
        </is>
      </c>
      <c r="BB45" s="2" t="inlineStr">
        <is>
          <t>ANALYST_SCENARIO</t>
        </is>
      </c>
      <c r="BC45" s="2" t="inlineStr">
        <is>
          <t>Analyst prioritization based on verified HD service; not observed market share.</t>
        </is>
      </c>
    </row>
    <row r="46">
      <c r="A46" s="2" t="inlineStr">
        <is>
          <t>OMN-F003</t>
        </is>
      </c>
      <c r="B46" s="2" t="inlineStr">
        <is>
          <t>Oman</t>
        </is>
      </c>
      <c r="C46" s="2" t="inlineStr">
        <is>
          <t>OMN</t>
        </is>
      </c>
      <c r="D46" s="2" t="inlineStr">
        <is>
          <t>Sohar Hospital</t>
        </is>
      </c>
      <c r="E46" s="2" t="inlineStr">
        <is>
          <t>Hospital_Dialysis_Unit</t>
        </is>
      </c>
      <c r="F46" s="2" t="inlineStr">
        <is>
          <t>Hospital-based HD</t>
        </is>
      </c>
      <c r="G46" s="2" t="inlineStr">
        <is>
          <t>Sohar</t>
        </is>
      </c>
      <c r="H46" s="2" t="inlineStr">
        <is>
          <t>North Al Batinah</t>
        </is>
      </c>
      <c r="I46" s="2" t="inlineStr">
        <is>
          <t>North Al Batinah</t>
        </is>
      </c>
      <c r="J46" s="2" t="inlineStr"/>
      <c r="K46" s="2" t="inlineStr"/>
      <c r="L46" s="2" t="inlineStr"/>
      <c r="M46" s="2" t="inlineStr"/>
      <c r="N46" s="2" t="inlineStr"/>
      <c r="O46" s="2" t="inlineStr">
        <is>
          <t>Government</t>
        </is>
      </c>
      <c r="P46" s="2" t="inlineStr">
        <is>
          <t>Government</t>
        </is>
      </c>
      <c r="Q46" s="2" t="inlineStr">
        <is>
          <t>Yes</t>
        </is>
      </c>
      <c r="R46" s="2" t="inlineStr"/>
      <c r="S46" s="2" t="inlineStr"/>
      <c r="T46" s="2" t="inlineStr"/>
      <c r="U46" s="2" t="inlineStr"/>
      <c r="V46" s="2" t="inlineStr"/>
      <c r="W46" s="2" t="inlineStr"/>
      <c r="X46" s="2" t="inlineStr"/>
      <c r="Y46" s="2" t="n"/>
      <c r="Z46" s="2" t="inlineStr"/>
      <c r="AA46" s="2" t="inlineStr"/>
      <c r="AB46" s="2" t="inlineStr"/>
      <c r="AC46" s="2" t="n"/>
      <c r="AD46" s="2" t="n"/>
      <c r="AE46" s="2" t="inlineStr"/>
      <c r="AF46" s="2" t="inlineStr"/>
      <c r="AG46" s="2" t="inlineStr"/>
      <c r="AH46" s="2" t="inlineStr"/>
      <c r="AI46" s="2" t="inlineStr"/>
      <c r="AJ46" s="2" t="inlineStr"/>
      <c r="AK46" s="2" t="inlineStr"/>
      <c r="AL46" s="2" t="inlineStr"/>
      <c r="AM46" s="2" t="inlineStr"/>
      <c r="AN46" s="2" t="inlineStr"/>
      <c r="AO46" s="2" t="inlineStr">
        <is>
          <t>High</t>
        </is>
      </c>
      <c r="AP46" s="2" t="inlineStr"/>
      <c r="AQ46" s="2" t="inlineStr"/>
      <c r="AR46" s="2" t="inlineStr"/>
      <c r="AS46" s="2" t="inlineStr">
        <is>
          <t>Verified HD facility</t>
        </is>
      </c>
      <c r="AT46" s="2" t="inlineStr">
        <is>
          <t>Tier_1</t>
        </is>
      </c>
      <c r="AU46" s="2" t="inlineStr">
        <is>
          <t>OBSERVED</t>
        </is>
      </c>
      <c r="AV46" s="2" t="inlineStr">
        <is>
          <t>Very High</t>
        </is>
      </c>
      <c r="AW46" s="2" t="inlineStr">
        <is>
          <t>SRC-WEB-030;SRC-WEB-031</t>
        </is>
      </c>
      <c r="AX46" s="2" t="inlineStr">
        <is>
          <t>https://pmc.ncbi.nlm.nih.gov/articles/PMC5678924/;https://pmc.ncbi.nlm.nih.gov/articles/PMC10686920/</t>
        </is>
      </c>
      <c r="AY46" s="2" t="inlineStr">
        <is>
          <t>Named in Oman dialysis studies.</t>
        </is>
      </c>
      <c r="AZ46" s="2" t="inlineStr">
        <is>
          <t>SOURCE-VERIFIED HD SERVICE; CURRENT STATUS SHOULD BE RECHECKED WHERE SOURCE IS HISTORICAL</t>
        </is>
      </c>
      <c r="BA46" s="2" t="inlineStr">
        <is>
          <t>2026-08-10</t>
        </is>
      </c>
      <c r="BB46" s="2" t="inlineStr">
        <is>
          <t>ANALYST_SCENARIO</t>
        </is>
      </c>
      <c r="BC46" s="2" t="inlineStr">
        <is>
          <t>Analyst prioritization based on verified HD service; not observed market share.</t>
        </is>
      </c>
    </row>
    <row r="47">
      <c r="A47" s="2" t="inlineStr">
        <is>
          <t>OMN-F004</t>
        </is>
      </c>
      <c r="B47" s="2" t="inlineStr">
        <is>
          <t>Oman</t>
        </is>
      </c>
      <c r="C47" s="2" t="inlineStr">
        <is>
          <t>OMN</t>
        </is>
      </c>
      <c r="D47" s="2" t="inlineStr">
        <is>
          <t>Sultan Qaboos Hospital, Salalah</t>
        </is>
      </c>
      <c r="E47" s="2" t="inlineStr">
        <is>
          <t>Hospital_Dialysis_Unit</t>
        </is>
      </c>
      <c r="F47" s="2" t="inlineStr">
        <is>
          <t>Hospital-based HD</t>
        </is>
      </c>
      <c r="G47" s="2" t="inlineStr">
        <is>
          <t>Salalah</t>
        </is>
      </c>
      <c r="H47" s="2" t="inlineStr">
        <is>
          <t>Dhofar</t>
        </is>
      </c>
      <c r="I47" s="2" t="inlineStr">
        <is>
          <t>Dhofar</t>
        </is>
      </c>
      <c r="J47" s="2" t="inlineStr"/>
      <c r="K47" s="2" t="inlineStr"/>
      <c r="L47" s="2" t="inlineStr"/>
      <c r="M47" s="2" t="inlineStr"/>
      <c r="N47" s="2" t="inlineStr"/>
      <c r="O47" s="2" t="inlineStr">
        <is>
          <t>Government</t>
        </is>
      </c>
      <c r="P47" s="2" t="inlineStr">
        <is>
          <t>Government</t>
        </is>
      </c>
      <c r="Q47" s="2" t="inlineStr">
        <is>
          <t>Yes</t>
        </is>
      </c>
      <c r="R47" s="2" t="inlineStr"/>
      <c r="S47" s="2" t="inlineStr"/>
      <c r="T47" s="2" t="inlineStr"/>
      <c r="U47" s="2" t="inlineStr"/>
      <c r="V47" s="2" t="inlineStr"/>
      <c r="W47" s="2" t="inlineStr"/>
      <c r="X47" s="2" t="inlineStr"/>
      <c r="Y47" s="2" t="n"/>
      <c r="Z47" s="2" t="inlineStr"/>
      <c r="AA47" s="2" t="inlineStr"/>
      <c r="AB47" s="2" t="inlineStr"/>
      <c r="AC47" s="2" t="n"/>
      <c r="AD47" s="2" t="n"/>
      <c r="AE47" s="2" t="inlineStr"/>
      <c r="AF47" s="2" t="inlineStr"/>
      <c r="AG47" s="2" t="inlineStr"/>
      <c r="AH47" s="2" t="inlineStr"/>
      <c r="AI47" s="2" t="inlineStr"/>
      <c r="AJ47" s="2" t="inlineStr"/>
      <c r="AK47" s="2" t="inlineStr"/>
      <c r="AL47" s="2" t="inlineStr"/>
      <c r="AM47" s="2" t="inlineStr"/>
      <c r="AN47" s="2" t="inlineStr"/>
      <c r="AO47" s="2" t="inlineStr">
        <is>
          <t>Medium</t>
        </is>
      </c>
      <c r="AP47" s="2" t="inlineStr"/>
      <c r="AQ47" s="2" t="inlineStr"/>
      <c r="AR47" s="2" t="inlineStr"/>
      <c r="AS47" s="2" t="inlineStr">
        <is>
          <t>Verified HD facility</t>
        </is>
      </c>
      <c r="AT47" s="2" t="inlineStr">
        <is>
          <t>Tier_2</t>
        </is>
      </c>
      <c r="AU47" s="2" t="inlineStr">
        <is>
          <t>OBSERVED</t>
        </is>
      </c>
      <c r="AV47" s="2" t="inlineStr">
        <is>
          <t>Very High</t>
        </is>
      </c>
      <c r="AW47" s="2" t="inlineStr">
        <is>
          <t>SRC-WEB-030</t>
        </is>
      </c>
      <c r="AX47" s="2" t="inlineStr">
        <is>
          <t>https://pmc.ncbi.nlm.nih.gov/articles/PMC5678924/</t>
        </is>
      </c>
      <c r="AY47" s="2" t="inlineStr">
        <is>
          <t>Historical 2013 dialysis facility; current status should be rechecked.</t>
        </is>
      </c>
      <c r="AZ47" s="2" t="inlineStr">
        <is>
          <t>SOURCE-VERIFIED HD SERVICE; CURRENT STATUS SHOULD BE RECHECKED WHERE SOURCE IS HISTORICAL</t>
        </is>
      </c>
      <c r="BA47" s="2" t="inlineStr">
        <is>
          <t>2026-08-10</t>
        </is>
      </c>
      <c r="BB47" s="2" t="inlineStr">
        <is>
          <t>ANALYST_SCENARIO</t>
        </is>
      </c>
      <c r="BC47" s="2" t="inlineStr">
        <is>
          <t>Analyst prioritization based on verified HD service; not observed market share.</t>
        </is>
      </c>
    </row>
    <row r="48">
      <c r="A48" s="2" t="inlineStr">
        <is>
          <t>OMN-F005</t>
        </is>
      </c>
      <c r="B48" s="2" t="inlineStr">
        <is>
          <t>Oman</t>
        </is>
      </c>
      <c r="C48" s="2" t="inlineStr">
        <is>
          <t>OMN</t>
        </is>
      </c>
      <c r="D48" s="2" t="inlineStr">
        <is>
          <t>Ibra Hospital</t>
        </is>
      </c>
      <c r="E48" s="2" t="inlineStr">
        <is>
          <t>Hospital_Dialysis_Unit</t>
        </is>
      </c>
      <c r="F48" s="2" t="inlineStr">
        <is>
          <t>Hospital-based HD</t>
        </is>
      </c>
      <c r="G48" s="2" t="inlineStr">
        <is>
          <t>Ibra</t>
        </is>
      </c>
      <c r="H48" s="2" t="inlineStr">
        <is>
          <t>North Sharqiyah</t>
        </is>
      </c>
      <c r="I48" s="2" t="inlineStr">
        <is>
          <t>North Sharqiyah</t>
        </is>
      </c>
      <c r="J48" s="2" t="inlineStr"/>
      <c r="K48" s="2" t="inlineStr"/>
      <c r="L48" s="2" t="inlineStr"/>
      <c r="M48" s="2" t="inlineStr"/>
      <c r="N48" s="2" t="inlineStr"/>
      <c r="O48" s="2" t="inlineStr">
        <is>
          <t>Government</t>
        </is>
      </c>
      <c r="P48" s="2" t="inlineStr">
        <is>
          <t>Government</t>
        </is>
      </c>
      <c r="Q48" s="2" t="inlineStr">
        <is>
          <t>Yes</t>
        </is>
      </c>
      <c r="R48" s="2" t="inlineStr"/>
      <c r="S48" s="2" t="inlineStr"/>
      <c r="T48" s="2" t="inlineStr"/>
      <c r="U48" s="2" t="inlineStr"/>
      <c r="V48" s="2" t="inlineStr"/>
      <c r="W48" s="2" t="inlineStr"/>
      <c r="X48" s="2" t="inlineStr"/>
      <c r="Y48" s="2" t="n"/>
      <c r="Z48" s="2" t="inlineStr"/>
      <c r="AA48" s="2" t="inlineStr"/>
      <c r="AB48" s="2" t="inlineStr"/>
      <c r="AC48" s="2" t="n"/>
      <c r="AD48" s="2" t="n"/>
      <c r="AE48" s="2" t="inlineStr"/>
      <c r="AF48" s="2" t="inlineStr"/>
      <c r="AG48" s="2" t="inlineStr"/>
      <c r="AH48" s="2" t="inlineStr"/>
      <c r="AI48" s="2" t="inlineStr"/>
      <c r="AJ48" s="2" t="inlineStr"/>
      <c r="AK48" s="2" t="inlineStr"/>
      <c r="AL48" s="2" t="inlineStr"/>
      <c r="AM48" s="2" t="inlineStr"/>
      <c r="AN48" s="2" t="inlineStr"/>
      <c r="AO48" s="2" t="inlineStr">
        <is>
          <t>Medium</t>
        </is>
      </c>
      <c r="AP48" s="2" t="inlineStr"/>
      <c r="AQ48" s="2" t="inlineStr"/>
      <c r="AR48" s="2" t="inlineStr"/>
      <c r="AS48" s="2" t="inlineStr">
        <is>
          <t>Verified HD facility</t>
        </is>
      </c>
      <c r="AT48" s="2" t="inlineStr">
        <is>
          <t>Tier_2</t>
        </is>
      </c>
      <c r="AU48" s="2" t="inlineStr">
        <is>
          <t>OBSERVED</t>
        </is>
      </c>
      <c r="AV48" s="2" t="inlineStr">
        <is>
          <t>Very High</t>
        </is>
      </c>
      <c r="AW48" s="2" t="inlineStr">
        <is>
          <t>SRC-WEB-034;SRC-WEB-031</t>
        </is>
      </c>
      <c r="AX48" s="2" t="inlineStr">
        <is>
          <t>https://moh.gov.om/en/hospitals-directorates/hospitals/ibra-hospital/;https://pmc.ncbi.nlm.nih.gov/articles/PMC10686920/</t>
        </is>
      </c>
      <c r="AY48" s="2" t="inlineStr">
        <is>
          <t>MOH page lists renal dialysis unit; national study includes Ibra Hospital.</t>
        </is>
      </c>
      <c r="AZ48" s="2" t="inlineStr">
        <is>
          <t>SOURCE-VERIFIED HD SERVICE; CURRENT STATUS SHOULD BE RECHECKED WHERE SOURCE IS HISTORICAL</t>
        </is>
      </c>
      <c r="BA48" s="2" t="inlineStr">
        <is>
          <t>2026-08-10</t>
        </is>
      </c>
      <c r="BB48" s="2" t="inlineStr">
        <is>
          <t>ANALYST_SCENARIO</t>
        </is>
      </c>
      <c r="BC48" s="2" t="inlineStr">
        <is>
          <t>Analyst prioritization based on verified HD service; not observed market share.</t>
        </is>
      </c>
    </row>
    <row r="49">
      <c r="A49" s="2" t="inlineStr">
        <is>
          <t>OMN-F006</t>
        </is>
      </c>
      <c r="B49" s="2" t="inlineStr">
        <is>
          <t>Oman</t>
        </is>
      </c>
      <c r="C49" s="2" t="inlineStr">
        <is>
          <t>OMN</t>
        </is>
      </c>
      <c r="D49" s="2" t="inlineStr">
        <is>
          <t>Ibri Hospital</t>
        </is>
      </c>
      <c r="E49" s="2" t="inlineStr">
        <is>
          <t>Hospital_Dialysis_Unit</t>
        </is>
      </c>
      <c r="F49" s="2" t="inlineStr">
        <is>
          <t>Hospital-based HD</t>
        </is>
      </c>
      <c r="G49" s="2" t="inlineStr">
        <is>
          <t>Ibri</t>
        </is>
      </c>
      <c r="H49" s="2" t="inlineStr">
        <is>
          <t>Al Dhahirah</t>
        </is>
      </c>
      <c r="I49" s="2" t="inlineStr">
        <is>
          <t>Al Dhahirah</t>
        </is>
      </c>
      <c r="J49" s="2" t="inlineStr"/>
      <c r="K49" s="2" t="inlineStr"/>
      <c r="L49" s="2" t="inlineStr"/>
      <c r="M49" s="2" t="inlineStr"/>
      <c r="N49" s="2" t="inlineStr"/>
      <c r="O49" s="2" t="inlineStr">
        <is>
          <t>Government</t>
        </is>
      </c>
      <c r="P49" s="2" t="inlineStr">
        <is>
          <t>Government</t>
        </is>
      </c>
      <c r="Q49" s="2" t="inlineStr">
        <is>
          <t>Yes</t>
        </is>
      </c>
      <c r="R49" s="2" t="inlineStr"/>
      <c r="S49" s="2" t="inlineStr"/>
      <c r="T49" s="2" t="inlineStr"/>
      <c r="U49" s="2" t="inlineStr"/>
      <c r="V49" s="2" t="inlineStr"/>
      <c r="W49" s="2" t="inlineStr"/>
      <c r="X49" s="2" t="inlineStr"/>
      <c r="Y49" s="2" t="n"/>
      <c r="Z49" s="2" t="inlineStr"/>
      <c r="AA49" s="2" t="inlineStr"/>
      <c r="AB49" s="2" t="inlineStr"/>
      <c r="AC49" s="2" t="n"/>
      <c r="AD49" s="2" t="n"/>
      <c r="AE49" s="2" t="inlineStr"/>
      <c r="AF49" s="2" t="inlineStr"/>
      <c r="AG49" s="2" t="inlineStr"/>
      <c r="AH49" s="2" t="inlineStr"/>
      <c r="AI49" s="2" t="inlineStr"/>
      <c r="AJ49" s="2" t="inlineStr"/>
      <c r="AK49" s="2" t="inlineStr"/>
      <c r="AL49" s="2" t="inlineStr"/>
      <c r="AM49" s="2" t="inlineStr"/>
      <c r="AN49" s="2" t="inlineStr"/>
      <c r="AO49" s="2" t="inlineStr">
        <is>
          <t>Medium</t>
        </is>
      </c>
      <c r="AP49" s="2" t="inlineStr"/>
      <c r="AQ49" s="2" t="inlineStr"/>
      <c r="AR49" s="2" t="inlineStr"/>
      <c r="AS49" s="2" t="inlineStr">
        <is>
          <t>Verified HD facility</t>
        </is>
      </c>
      <c r="AT49" s="2" t="inlineStr">
        <is>
          <t>Tier_2</t>
        </is>
      </c>
      <c r="AU49" s="2" t="inlineStr">
        <is>
          <t>OBSERVED</t>
        </is>
      </c>
      <c r="AV49" s="2" t="inlineStr">
        <is>
          <t>Very High</t>
        </is>
      </c>
      <c r="AW49" s="2" t="inlineStr">
        <is>
          <t>SRC-WEB-030</t>
        </is>
      </c>
      <c r="AX49" s="2" t="inlineStr">
        <is>
          <t>https://pmc.ncbi.nlm.nih.gov/articles/PMC5678924/</t>
        </is>
      </c>
      <c r="AY49" s="2" t="inlineStr">
        <is>
          <t>Historical 2013 dialysis facility; current status should be rechecked.</t>
        </is>
      </c>
      <c r="AZ49" s="2" t="inlineStr">
        <is>
          <t>SOURCE-VERIFIED HD SERVICE; CURRENT STATUS SHOULD BE RECHECKED WHERE SOURCE IS HISTORICAL</t>
        </is>
      </c>
      <c r="BA49" s="2" t="inlineStr">
        <is>
          <t>2026-08-10</t>
        </is>
      </c>
      <c r="BB49" s="2" t="inlineStr">
        <is>
          <t>ANALYST_SCENARIO</t>
        </is>
      </c>
      <c r="BC49" s="2" t="inlineStr">
        <is>
          <t>Analyst prioritization based on verified HD service; not observed market share.</t>
        </is>
      </c>
    </row>
    <row r="50">
      <c r="A50" s="2" t="inlineStr">
        <is>
          <t>OMN-F007</t>
        </is>
      </c>
      <c r="B50" s="2" t="inlineStr">
        <is>
          <t>Oman</t>
        </is>
      </c>
      <c r="C50" s="2" t="inlineStr">
        <is>
          <t>OMN</t>
        </is>
      </c>
      <c r="D50" s="2" t="inlineStr">
        <is>
          <t>Rustaq Hospital</t>
        </is>
      </c>
      <c r="E50" s="2" t="inlineStr">
        <is>
          <t>Hospital_Dialysis_Unit</t>
        </is>
      </c>
      <c r="F50" s="2" t="inlineStr">
        <is>
          <t>Hospital-based HD</t>
        </is>
      </c>
      <c r="G50" s="2" t="inlineStr">
        <is>
          <t>Rustaq</t>
        </is>
      </c>
      <c r="H50" s="2" t="inlineStr">
        <is>
          <t>South Al Batinah</t>
        </is>
      </c>
      <c r="I50" s="2" t="inlineStr">
        <is>
          <t>South Al Batinah</t>
        </is>
      </c>
      <c r="J50" s="2" t="inlineStr"/>
      <c r="K50" s="2" t="inlineStr"/>
      <c r="L50" s="2" t="inlineStr"/>
      <c r="M50" s="2" t="inlineStr"/>
      <c r="N50" s="2" t="inlineStr"/>
      <c r="O50" s="2" t="inlineStr">
        <is>
          <t>Government</t>
        </is>
      </c>
      <c r="P50" s="2" t="inlineStr">
        <is>
          <t>Government</t>
        </is>
      </c>
      <c r="Q50" s="2" t="inlineStr">
        <is>
          <t>Yes</t>
        </is>
      </c>
      <c r="R50" s="2" t="inlineStr"/>
      <c r="S50" s="2" t="inlineStr"/>
      <c r="T50" s="2" t="inlineStr"/>
      <c r="U50" s="2" t="inlineStr"/>
      <c r="V50" s="2" t="inlineStr"/>
      <c r="W50" s="2" t="inlineStr"/>
      <c r="X50" s="2" t="inlineStr"/>
      <c r="Y50" s="2" t="n"/>
      <c r="Z50" s="2" t="inlineStr"/>
      <c r="AA50" s="2" t="inlineStr"/>
      <c r="AB50" s="2" t="inlineStr"/>
      <c r="AC50" s="2" t="n"/>
      <c r="AD50" s="2" t="n"/>
      <c r="AE50" s="2" t="inlineStr"/>
      <c r="AF50" s="2" t="inlineStr"/>
      <c r="AG50" s="2" t="inlineStr"/>
      <c r="AH50" s="2" t="inlineStr"/>
      <c r="AI50" s="2" t="inlineStr"/>
      <c r="AJ50" s="2" t="inlineStr"/>
      <c r="AK50" s="2" t="inlineStr"/>
      <c r="AL50" s="2" t="inlineStr"/>
      <c r="AM50" s="2" t="inlineStr"/>
      <c r="AN50" s="2" t="inlineStr"/>
      <c r="AO50" s="2" t="inlineStr">
        <is>
          <t>Medium</t>
        </is>
      </c>
      <c r="AP50" s="2" t="inlineStr"/>
      <c r="AQ50" s="2" t="inlineStr"/>
      <c r="AR50" s="2" t="inlineStr"/>
      <c r="AS50" s="2" t="inlineStr">
        <is>
          <t>Verified HD facility</t>
        </is>
      </c>
      <c r="AT50" s="2" t="inlineStr">
        <is>
          <t>Tier_2</t>
        </is>
      </c>
      <c r="AU50" s="2" t="inlineStr">
        <is>
          <t>OBSERVED</t>
        </is>
      </c>
      <c r="AV50" s="2" t="inlineStr">
        <is>
          <t>Very High</t>
        </is>
      </c>
      <c r="AW50" s="2" t="inlineStr">
        <is>
          <t>SRC-WEB-030;SRC-WEB-031</t>
        </is>
      </c>
      <c r="AX50" s="2" t="inlineStr">
        <is>
          <t>https://pmc.ncbi.nlm.nih.gov/articles/PMC5678924/;https://pmc.ncbi.nlm.nih.gov/articles/PMC10686920/</t>
        </is>
      </c>
      <c r="AY50" s="2" t="inlineStr">
        <is>
          <t>Named in Oman dialysis studies.</t>
        </is>
      </c>
      <c r="AZ50" s="2" t="inlineStr">
        <is>
          <t>SOURCE-VERIFIED HD SERVICE; CURRENT STATUS SHOULD BE RECHECKED WHERE SOURCE IS HISTORICAL</t>
        </is>
      </c>
      <c r="BA50" s="2" t="inlineStr">
        <is>
          <t>2026-08-10</t>
        </is>
      </c>
      <c r="BB50" s="2" t="inlineStr">
        <is>
          <t>ANALYST_SCENARIO</t>
        </is>
      </c>
      <c r="BC50" s="2" t="inlineStr">
        <is>
          <t>Analyst prioritization based on verified HD service; not observed market share.</t>
        </is>
      </c>
    </row>
    <row r="51">
      <c r="A51" s="2" t="inlineStr">
        <is>
          <t>OMN-F008</t>
        </is>
      </c>
      <c r="B51" s="2" t="inlineStr">
        <is>
          <t>Oman</t>
        </is>
      </c>
      <c r="C51" s="2" t="inlineStr">
        <is>
          <t>OMN</t>
        </is>
      </c>
      <c r="D51" s="2" t="inlineStr">
        <is>
          <t>Khasab Hospital</t>
        </is>
      </c>
      <c r="E51" s="2" t="inlineStr">
        <is>
          <t>Hospital_Dialysis_Unit</t>
        </is>
      </c>
      <c r="F51" s="2" t="inlineStr">
        <is>
          <t>Hospital-based HD</t>
        </is>
      </c>
      <c r="G51" s="2" t="inlineStr">
        <is>
          <t>Khasab</t>
        </is>
      </c>
      <c r="H51" s="2" t="inlineStr">
        <is>
          <t>Musandam</t>
        </is>
      </c>
      <c r="I51" s="2" t="inlineStr">
        <is>
          <t>Musandam</t>
        </is>
      </c>
      <c r="J51" s="2" t="inlineStr"/>
      <c r="K51" s="2" t="inlineStr"/>
      <c r="L51" s="2" t="inlineStr"/>
      <c r="M51" s="2" t="inlineStr"/>
      <c r="N51" s="2" t="inlineStr"/>
      <c r="O51" s="2" t="inlineStr">
        <is>
          <t>Government</t>
        </is>
      </c>
      <c r="P51" s="2" t="inlineStr">
        <is>
          <t>Government</t>
        </is>
      </c>
      <c r="Q51" s="2" t="inlineStr">
        <is>
          <t>Yes</t>
        </is>
      </c>
      <c r="R51" s="2" t="inlineStr"/>
      <c r="S51" s="2" t="inlineStr"/>
      <c r="T51" s="2" t="inlineStr"/>
      <c r="U51" s="2" t="inlineStr"/>
      <c r="V51" s="2" t="inlineStr"/>
      <c r="W51" s="2" t="inlineStr"/>
      <c r="X51" s="2" t="inlineStr"/>
      <c r="Y51" s="2" t="n"/>
      <c r="Z51" s="2" t="inlineStr"/>
      <c r="AA51" s="2" t="inlineStr"/>
      <c r="AB51" s="2" t="inlineStr"/>
      <c r="AC51" s="2" t="n"/>
      <c r="AD51" s="2" t="n"/>
      <c r="AE51" s="2" t="inlineStr"/>
      <c r="AF51" s="2" t="inlineStr"/>
      <c r="AG51" s="2" t="inlineStr"/>
      <c r="AH51" s="2" t="inlineStr"/>
      <c r="AI51" s="2" t="inlineStr"/>
      <c r="AJ51" s="2" t="inlineStr"/>
      <c r="AK51" s="2" t="inlineStr"/>
      <c r="AL51" s="2" t="inlineStr"/>
      <c r="AM51" s="2" t="inlineStr"/>
      <c r="AN51" s="2" t="inlineStr"/>
      <c r="AO51" s="2" t="inlineStr">
        <is>
          <t>Medium</t>
        </is>
      </c>
      <c r="AP51" s="2" t="inlineStr"/>
      <c r="AQ51" s="2" t="inlineStr"/>
      <c r="AR51" s="2" t="inlineStr"/>
      <c r="AS51" s="2" t="inlineStr">
        <is>
          <t>Verified HD facility</t>
        </is>
      </c>
      <c r="AT51" s="2" t="inlineStr">
        <is>
          <t>Tier_2</t>
        </is>
      </c>
      <c r="AU51" s="2" t="inlineStr">
        <is>
          <t>OBSERVED</t>
        </is>
      </c>
      <c r="AV51" s="2" t="inlineStr">
        <is>
          <t>Very High</t>
        </is>
      </c>
      <c r="AW51" s="2" t="inlineStr">
        <is>
          <t>SRC-WEB-030;SRC-WEB-031</t>
        </is>
      </c>
      <c r="AX51" s="2" t="inlineStr">
        <is>
          <t>https://pmc.ncbi.nlm.nih.gov/articles/PMC5678924/;https://pmc.ncbi.nlm.nih.gov/articles/PMC10686920/</t>
        </is>
      </c>
      <c r="AY51" s="2" t="inlineStr">
        <is>
          <t>Named in Oman dialysis studies.</t>
        </is>
      </c>
      <c r="AZ51" s="2" t="inlineStr">
        <is>
          <t>SOURCE-VERIFIED HD SERVICE; CURRENT STATUS SHOULD BE RECHECKED WHERE SOURCE IS HISTORICAL</t>
        </is>
      </c>
      <c r="BA51" s="2" t="inlineStr">
        <is>
          <t>2026-08-10</t>
        </is>
      </c>
      <c r="BB51" s="2" t="inlineStr">
        <is>
          <t>ANALYST_SCENARIO</t>
        </is>
      </c>
      <c r="BC51" s="2" t="inlineStr">
        <is>
          <t>Analyst prioritization based on verified HD service; not observed market share.</t>
        </is>
      </c>
    </row>
    <row r="52">
      <c r="A52" s="2" t="inlineStr">
        <is>
          <t>OMN-F009</t>
        </is>
      </c>
      <c r="B52" s="2" t="inlineStr">
        <is>
          <t>Oman</t>
        </is>
      </c>
      <c r="C52" s="2" t="inlineStr">
        <is>
          <t>OMN</t>
        </is>
      </c>
      <c r="D52" s="2" t="inlineStr">
        <is>
          <t>Nizwa Hospital</t>
        </is>
      </c>
      <c r="E52" s="2" t="inlineStr">
        <is>
          <t>Hospital_Dialysis_Unit</t>
        </is>
      </c>
      <c r="F52" s="2" t="inlineStr">
        <is>
          <t>Hospital-based HD</t>
        </is>
      </c>
      <c r="G52" s="2" t="inlineStr">
        <is>
          <t>Nizwa</t>
        </is>
      </c>
      <c r="H52" s="2" t="inlineStr">
        <is>
          <t>Ad Dakhiliyah</t>
        </is>
      </c>
      <c r="I52" s="2" t="inlineStr">
        <is>
          <t>Ad Dakhiliyah</t>
        </is>
      </c>
      <c r="J52" s="2" t="inlineStr"/>
      <c r="K52" s="2" t="inlineStr"/>
      <c r="L52" s="2" t="inlineStr"/>
      <c r="M52" s="2" t="inlineStr"/>
      <c r="N52" s="2" t="inlineStr"/>
      <c r="O52" s="2" t="inlineStr">
        <is>
          <t>Government</t>
        </is>
      </c>
      <c r="P52" s="2" t="inlineStr">
        <is>
          <t>Government</t>
        </is>
      </c>
      <c r="Q52" s="2" t="inlineStr">
        <is>
          <t>Yes</t>
        </is>
      </c>
      <c r="R52" s="2" t="inlineStr"/>
      <c r="S52" s="2" t="inlineStr"/>
      <c r="T52" s="2" t="inlineStr"/>
      <c r="U52" s="2" t="inlineStr"/>
      <c r="V52" s="2" t="inlineStr"/>
      <c r="W52" s="2" t="inlineStr"/>
      <c r="X52" s="2" t="inlineStr"/>
      <c r="Y52" s="2" t="n"/>
      <c r="Z52" s="2" t="inlineStr"/>
      <c r="AA52" s="2" t="inlineStr"/>
      <c r="AB52" s="2" t="inlineStr"/>
      <c r="AC52" s="2" t="n"/>
      <c r="AD52" s="2" t="n"/>
      <c r="AE52" s="2" t="inlineStr"/>
      <c r="AF52" s="2" t="inlineStr"/>
      <c r="AG52" s="2" t="inlineStr"/>
      <c r="AH52" s="2" t="inlineStr"/>
      <c r="AI52" s="2" t="inlineStr"/>
      <c r="AJ52" s="2" t="inlineStr"/>
      <c r="AK52" s="2" t="inlineStr"/>
      <c r="AL52" s="2" t="inlineStr"/>
      <c r="AM52" s="2" t="inlineStr"/>
      <c r="AN52" s="2" t="inlineStr"/>
      <c r="AO52" s="2" t="inlineStr">
        <is>
          <t>Medium</t>
        </is>
      </c>
      <c r="AP52" s="2" t="inlineStr"/>
      <c r="AQ52" s="2" t="inlineStr"/>
      <c r="AR52" s="2" t="inlineStr"/>
      <c r="AS52" s="2" t="inlineStr">
        <is>
          <t>Verified HD facility</t>
        </is>
      </c>
      <c r="AT52" s="2" t="inlineStr">
        <is>
          <t>Tier_2</t>
        </is>
      </c>
      <c r="AU52" s="2" t="inlineStr">
        <is>
          <t>OBSERVED</t>
        </is>
      </c>
      <c r="AV52" s="2" t="inlineStr">
        <is>
          <t>Very High</t>
        </is>
      </c>
      <c r="AW52" s="2" t="inlineStr">
        <is>
          <t>SRC-WEB-030</t>
        </is>
      </c>
      <c r="AX52" s="2" t="inlineStr">
        <is>
          <t>https://pmc.ncbi.nlm.nih.gov/articles/PMC5678924/</t>
        </is>
      </c>
      <c r="AY52" s="2" t="inlineStr">
        <is>
          <t>Historical 2013 dialysis facility; current status should be rechecked.</t>
        </is>
      </c>
      <c r="AZ52" s="2" t="inlineStr">
        <is>
          <t>SOURCE-VERIFIED HD SERVICE; CURRENT STATUS SHOULD BE RECHECKED WHERE SOURCE IS HISTORICAL</t>
        </is>
      </c>
      <c r="BA52" s="2" t="inlineStr">
        <is>
          <t>2026-08-10</t>
        </is>
      </c>
      <c r="BB52" s="2" t="inlineStr">
        <is>
          <t>ANALYST_SCENARIO</t>
        </is>
      </c>
      <c r="BC52" s="2" t="inlineStr">
        <is>
          <t>Analyst prioritization based on verified HD service; not observed market share.</t>
        </is>
      </c>
    </row>
    <row r="53">
      <c r="A53" s="2" t="inlineStr">
        <is>
          <t>OMN-F010</t>
        </is>
      </c>
      <c r="B53" s="2" t="inlineStr">
        <is>
          <t>Oman</t>
        </is>
      </c>
      <c r="C53" s="2" t="inlineStr">
        <is>
          <t>OMN</t>
        </is>
      </c>
      <c r="D53" s="2" t="inlineStr">
        <is>
          <t>Bausher Renal Dialysis Center</t>
        </is>
      </c>
      <c r="E53" s="2" t="inlineStr">
        <is>
          <t>Standalone_Dialysis_Center</t>
        </is>
      </c>
      <c r="F53" s="2" t="inlineStr">
        <is>
          <t>Standalone HD center</t>
        </is>
      </c>
      <c r="G53" s="2" t="inlineStr">
        <is>
          <t>Muscat</t>
        </is>
      </c>
      <c r="H53" s="2" t="inlineStr">
        <is>
          <t>Muscat</t>
        </is>
      </c>
      <c r="I53" s="2" t="inlineStr">
        <is>
          <t>Muscat</t>
        </is>
      </c>
      <c r="J53" s="2" t="inlineStr"/>
      <c r="K53" s="2" t="inlineStr"/>
      <c r="L53" s="2" t="inlineStr"/>
      <c r="M53" s="2" t="inlineStr">
        <is>
          <t>Bausher Renal Dialysis Center</t>
        </is>
      </c>
      <c r="N53" s="2" t="inlineStr"/>
      <c r="O53" s="2" t="inlineStr">
        <is>
          <t>Government</t>
        </is>
      </c>
      <c r="P53" s="2" t="inlineStr">
        <is>
          <t>Government</t>
        </is>
      </c>
      <c r="Q53" s="2" t="inlineStr">
        <is>
          <t>Yes</t>
        </is>
      </c>
      <c r="R53" s="2" t="inlineStr"/>
      <c r="S53" s="2" t="inlineStr"/>
      <c r="T53" s="2" t="inlineStr"/>
      <c r="U53" s="2" t="inlineStr"/>
      <c r="V53" s="2" t="inlineStr"/>
      <c r="W53" s="2" t="inlineStr"/>
      <c r="X53" s="2" t="inlineStr"/>
      <c r="Y53" s="2" t="n"/>
      <c r="Z53" s="2" t="inlineStr"/>
      <c r="AA53" s="2" t="inlineStr"/>
      <c r="AB53" s="2" t="inlineStr"/>
      <c r="AC53" s="2" t="n"/>
      <c r="AD53" s="2" t="n"/>
      <c r="AE53" s="2" t="inlineStr"/>
      <c r="AF53" s="2" t="inlineStr"/>
      <c r="AG53" s="2" t="inlineStr"/>
      <c r="AH53" s="2" t="inlineStr"/>
      <c r="AI53" s="2" t="inlineStr"/>
      <c r="AJ53" s="2" t="inlineStr"/>
      <c r="AK53" s="2" t="inlineStr"/>
      <c r="AL53" s="2" t="inlineStr"/>
      <c r="AM53" s="2" t="inlineStr"/>
      <c r="AN53" s="2" t="inlineStr"/>
      <c r="AO53" s="2" t="inlineStr">
        <is>
          <t>High</t>
        </is>
      </c>
      <c r="AP53" s="2" t="inlineStr"/>
      <c r="AQ53" s="2" t="inlineStr"/>
      <c r="AR53" s="2" t="inlineStr"/>
      <c r="AS53" s="2" t="inlineStr">
        <is>
          <t>Verified HD facility</t>
        </is>
      </c>
      <c r="AT53" s="2" t="inlineStr">
        <is>
          <t>Tier_1</t>
        </is>
      </c>
      <c r="AU53" s="2" t="inlineStr">
        <is>
          <t>OBSERVED</t>
        </is>
      </c>
      <c r="AV53" s="2" t="inlineStr">
        <is>
          <t>Very High</t>
        </is>
      </c>
      <c r="AW53" s="2" t="inlineStr">
        <is>
          <t>SRC-WEB-036;SRC-WEB-032;SRC-WEB-031</t>
        </is>
      </c>
      <c r="AX53" s="2" t="inlineStr">
        <is>
          <t>https://moh.gov.om/en/hospitals-directorates/health-centers/renal-dialysis-center/;https://pmc.ncbi.nlm.nih.gov/articles/PMC8049780/;https://pmc.ncbi.nlm.nih.gov/articles/PMC10686920/</t>
        </is>
      </c>
      <c r="AY53" s="2" t="inlineStr">
        <is>
          <t>Current MOH page and studies confirm renal dialysis service; 2021 study describes Bausher as a major government HD center.</t>
        </is>
      </c>
      <c r="AZ53" s="2" t="inlineStr">
        <is>
          <t>SOURCE-VERIFIED HD SERVICE; CURRENT STATUS SHOULD BE RECHECKED WHERE SOURCE IS HISTORICAL</t>
        </is>
      </c>
      <c r="BA53" s="2" t="inlineStr">
        <is>
          <t>2026-08-10</t>
        </is>
      </c>
      <c r="BB53" s="2" t="inlineStr">
        <is>
          <t>ANALYST_SCENARIO</t>
        </is>
      </c>
      <c r="BC53" s="2" t="inlineStr">
        <is>
          <t>Analyst prioritization based on verified HD service; not observed market share.</t>
        </is>
      </c>
    </row>
    <row r="54">
      <c r="A54" s="2" t="inlineStr">
        <is>
          <t>OMN-F011</t>
        </is>
      </c>
      <c r="B54" s="2" t="inlineStr">
        <is>
          <t>Oman</t>
        </is>
      </c>
      <c r="C54" s="2" t="inlineStr">
        <is>
          <t>OMN</t>
        </is>
      </c>
      <c r="D54" s="2" t="inlineStr">
        <is>
          <t>Sur Hospital</t>
        </is>
      </c>
      <c r="E54" s="2" t="inlineStr">
        <is>
          <t>Hospital_Dialysis_Unit</t>
        </is>
      </c>
      <c r="F54" s="2" t="inlineStr">
        <is>
          <t>Hospital-based HD</t>
        </is>
      </c>
      <c r="G54" s="2" t="inlineStr">
        <is>
          <t>Sur</t>
        </is>
      </c>
      <c r="H54" s="2" t="inlineStr">
        <is>
          <t>South Sharqiyah</t>
        </is>
      </c>
      <c r="I54" s="2" t="inlineStr">
        <is>
          <t>South Sharqiyah</t>
        </is>
      </c>
      <c r="J54" s="2" t="inlineStr"/>
      <c r="K54" s="2" t="inlineStr"/>
      <c r="L54" s="2" t="inlineStr"/>
      <c r="M54" s="2" t="inlineStr"/>
      <c r="N54" s="2" t="inlineStr"/>
      <c r="O54" s="2" t="inlineStr">
        <is>
          <t>Government</t>
        </is>
      </c>
      <c r="P54" s="2" t="inlineStr">
        <is>
          <t>Government</t>
        </is>
      </c>
      <c r="Q54" s="2" t="inlineStr">
        <is>
          <t>Yes</t>
        </is>
      </c>
      <c r="R54" s="2" t="inlineStr"/>
      <c r="S54" s="2" t="inlineStr"/>
      <c r="T54" s="2" t="inlineStr"/>
      <c r="U54" s="2" t="inlineStr"/>
      <c r="V54" s="2" t="inlineStr"/>
      <c r="W54" s="2" t="inlineStr"/>
      <c r="X54" s="2" t="inlineStr"/>
      <c r="Y54" s="2" t="n"/>
      <c r="Z54" s="2" t="inlineStr"/>
      <c r="AA54" s="2" t="inlineStr"/>
      <c r="AB54" s="2" t="inlineStr"/>
      <c r="AC54" s="2" t="n"/>
      <c r="AD54" s="2" t="n"/>
      <c r="AE54" s="2" t="inlineStr"/>
      <c r="AF54" s="2" t="inlineStr"/>
      <c r="AG54" s="2" t="inlineStr"/>
      <c r="AH54" s="2" t="inlineStr"/>
      <c r="AI54" s="2" t="inlineStr"/>
      <c r="AJ54" s="2" t="inlineStr"/>
      <c r="AK54" s="2" t="inlineStr"/>
      <c r="AL54" s="2" t="inlineStr"/>
      <c r="AM54" s="2" t="inlineStr"/>
      <c r="AN54" s="2" t="inlineStr"/>
      <c r="AO54" s="2" t="inlineStr">
        <is>
          <t>Medium</t>
        </is>
      </c>
      <c r="AP54" s="2" t="inlineStr"/>
      <c r="AQ54" s="2" t="inlineStr"/>
      <c r="AR54" s="2" t="inlineStr"/>
      <c r="AS54" s="2" t="inlineStr">
        <is>
          <t>Verified HD facility</t>
        </is>
      </c>
      <c r="AT54" s="2" t="inlineStr">
        <is>
          <t>Tier_2</t>
        </is>
      </c>
      <c r="AU54" s="2" t="inlineStr">
        <is>
          <t>OBSERVED</t>
        </is>
      </c>
      <c r="AV54" s="2" t="inlineStr">
        <is>
          <t>Very High</t>
        </is>
      </c>
      <c r="AW54" s="2" t="inlineStr">
        <is>
          <t>SRC-WEB-030</t>
        </is>
      </c>
      <c r="AX54" s="2" t="inlineStr">
        <is>
          <t>https://pmc.ncbi.nlm.nih.gov/articles/PMC5678924/</t>
        </is>
      </c>
      <c r="AY54" s="2" t="inlineStr">
        <is>
          <t>Historical 2013 dialysis facility; current status should be rechecked.</t>
        </is>
      </c>
      <c r="AZ54" s="2" t="inlineStr">
        <is>
          <t>SOURCE-VERIFIED HD SERVICE; CURRENT STATUS SHOULD BE RECHECKED WHERE SOURCE IS HISTORICAL</t>
        </is>
      </c>
      <c r="BA54" s="2" t="inlineStr">
        <is>
          <t>2026-08-10</t>
        </is>
      </c>
      <c r="BB54" s="2" t="inlineStr">
        <is>
          <t>ANALYST_SCENARIO</t>
        </is>
      </c>
      <c r="BC54" s="2" t="inlineStr">
        <is>
          <t>Analyst prioritization based on verified HD service; not observed market share.</t>
        </is>
      </c>
    </row>
    <row r="55">
      <c r="A55" s="2" t="inlineStr">
        <is>
          <t>OMN-F012</t>
        </is>
      </c>
      <c r="B55" s="2" t="inlineStr">
        <is>
          <t>Oman</t>
        </is>
      </c>
      <c r="C55" s="2" t="inlineStr">
        <is>
          <t>OMN</t>
        </is>
      </c>
      <c r="D55" s="2" t="inlineStr">
        <is>
          <t>Dibba Hospital</t>
        </is>
      </c>
      <c r="E55" s="2" t="inlineStr">
        <is>
          <t>Hospital_Dialysis_Unit</t>
        </is>
      </c>
      <c r="F55" s="2" t="inlineStr">
        <is>
          <t>Hospital-based HD</t>
        </is>
      </c>
      <c r="G55" s="2" t="inlineStr">
        <is>
          <t>Dibba</t>
        </is>
      </c>
      <c r="H55" s="2" t="inlineStr">
        <is>
          <t>Musandam</t>
        </is>
      </c>
      <c r="I55" s="2" t="inlineStr">
        <is>
          <t>Musandam</t>
        </is>
      </c>
      <c r="J55" s="2" t="inlineStr"/>
      <c r="K55" s="2" t="inlineStr"/>
      <c r="L55" s="2" t="inlineStr"/>
      <c r="M55" s="2" t="inlineStr"/>
      <c r="N55" s="2" t="inlineStr"/>
      <c r="O55" s="2" t="inlineStr">
        <is>
          <t>Government</t>
        </is>
      </c>
      <c r="P55" s="2" t="inlineStr">
        <is>
          <t>Government</t>
        </is>
      </c>
      <c r="Q55" s="2" t="inlineStr">
        <is>
          <t>Yes</t>
        </is>
      </c>
      <c r="R55" s="2" t="inlineStr"/>
      <c r="S55" s="2" t="inlineStr"/>
      <c r="T55" s="2" t="inlineStr"/>
      <c r="U55" s="2" t="inlineStr"/>
      <c r="V55" s="2" t="inlineStr"/>
      <c r="W55" s="2" t="inlineStr"/>
      <c r="X55" s="2" t="inlineStr"/>
      <c r="Y55" s="2" t="n"/>
      <c r="Z55" s="2" t="inlineStr"/>
      <c r="AA55" s="2" t="inlineStr"/>
      <c r="AB55" s="2" t="inlineStr"/>
      <c r="AC55" s="2" t="n"/>
      <c r="AD55" s="2" t="n"/>
      <c r="AE55" s="2" t="inlineStr"/>
      <c r="AF55" s="2" t="inlineStr"/>
      <c r="AG55" s="2" t="inlineStr"/>
      <c r="AH55" s="2" t="inlineStr"/>
      <c r="AI55" s="2" t="inlineStr"/>
      <c r="AJ55" s="2" t="inlineStr"/>
      <c r="AK55" s="2" t="inlineStr"/>
      <c r="AL55" s="2" t="inlineStr"/>
      <c r="AM55" s="2" t="inlineStr"/>
      <c r="AN55" s="2" t="inlineStr"/>
      <c r="AO55" s="2" t="inlineStr">
        <is>
          <t>Medium</t>
        </is>
      </c>
      <c r="AP55" s="2" t="inlineStr"/>
      <c r="AQ55" s="2" t="inlineStr"/>
      <c r="AR55" s="2" t="inlineStr"/>
      <c r="AS55" s="2" t="inlineStr">
        <is>
          <t>Verified HD facility</t>
        </is>
      </c>
      <c r="AT55" s="2" t="inlineStr">
        <is>
          <t>Tier_2</t>
        </is>
      </c>
      <c r="AU55" s="2" t="inlineStr">
        <is>
          <t>OBSERVED</t>
        </is>
      </c>
      <c r="AV55" s="2" t="inlineStr">
        <is>
          <t>Very High</t>
        </is>
      </c>
      <c r="AW55" s="2" t="inlineStr">
        <is>
          <t>SRC-WEB-030</t>
        </is>
      </c>
      <c r="AX55" s="2" t="inlineStr">
        <is>
          <t>https://pmc.ncbi.nlm.nih.gov/articles/PMC5678924/</t>
        </is>
      </c>
      <c r="AY55" s="2" t="inlineStr">
        <is>
          <t>Historical 2013 dialysis facility; current status should be rechecked.</t>
        </is>
      </c>
      <c r="AZ55" s="2" t="inlineStr">
        <is>
          <t>SOURCE-VERIFIED HD SERVICE; CURRENT STATUS SHOULD BE RECHECKED WHERE SOURCE IS HISTORICAL</t>
        </is>
      </c>
      <c r="BA55" s="2" t="inlineStr">
        <is>
          <t>2026-08-10</t>
        </is>
      </c>
      <c r="BB55" s="2" t="inlineStr">
        <is>
          <t>ANALYST_SCENARIO</t>
        </is>
      </c>
      <c r="BC55" s="2" t="inlineStr">
        <is>
          <t>Analyst prioritization based on verified HD service; not observed market share.</t>
        </is>
      </c>
    </row>
    <row r="56">
      <c r="A56" s="2" t="inlineStr">
        <is>
          <t>OMN-F013</t>
        </is>
      </c>
      <c r="B56" s="2" t="inlineStr">
        <is>
          <t>Oman</t>
        </is>
      </c>
      <c r="C56" s="2" t="inlineStr">
        <is>
          <t>OMN</t>
        </is>
      </c>
      <c r="D56" s="2" t="inlineStr">
        <is>
          <t>Jaalan Bin Bu Ali Dialysis Unit</t>
        </is>
      </c>
      <c r="E56" s="2" t="inlineStr">
        <is>
          <t>Standalone_Dialysis_Center</t>
        </is>
      </c>
      <c r="F56" s="2" t="inlineStr">
        <is>
          <t>Standalone HD center</t>
        </is>
      </c>
      <c r="G56" s="2" t="inlineStr">
        <is>
          <t>Jalan Bani Bu Ali</t>
        </is>
      </c>
      <c r="H56" s="2" t="inlineStr">
        <is>
          <t>South Sharqiyah</t>
        </is>
      </c>
      <c r="I56" s="2" t="inlineStr">
        <is>
          <t>South Sharqiyah</t>
        </is>
      </c>
      <c r="J56" s="2" t="inlineStr"/>
      <c r="K56" s="2" t="inlineStr"/>
      <c r="L56" s="2" t="inlineStr"/>
      <c r="M56" s="2" t="inlineStr">
        <is>
          <t>Jaalan Bin Bu Ali Dialysis Unit</t>
        </is>
      </c>
      <c r="N56" s="2" t="inlineStr"/>
      <c r="O56" s="2" t="inlineStr">
        <is>
          <t>Government</t>
        </is>
      </c>
      <c r="P56" s="2" t="inlineStr">
        <is>
          <t>Government</t>
        </is>
      </c>
      <c r="Q56" s="2" t="inlineStr">
        <is>
          <t>Yes</t>
        </is>
      </c>
      <c r="R56" s="2" t="inlineStr"/>
      <c r="S56" s="2" t="inlineStr"/>
      <c r="T56" s="2" t="inlineStr"/>
      <c r="U56" s="2" t="inlineStr"/>
      <c r="V56" s="2" t="inlineStr"/>
      <c r="W56" s="2" t="inlineStr"/>
      <c r="X56" s="2" t="inlineStr"/>
      <c r="Y56" s="2" t="n"/>
      <c r="Z56" s="2" t="inlineStr"/>
      <c r="AA56" s="2" t="inlineStr"/>
      <c r="AB56" s="2" t="inlineStr"/>
      <c r="AC56" s="2" t="n"/>
      <c r="AD56" s="2" t="n"/>
      <c r="AE56" s="2" t="inlineStr"/>
      <c r="AF56" s="2" t="inlineStr"/>
      <c r="AG56" s="2" t="inlineStr"/>
      <c r="AH56" s="2" t="inlineStr"/>
      <c r="AI56" s="2" t="inlineStr"/>
      <c r="AJ56" s="2" t="inlineStr"/>
      <c r="AK56" s="2" t="inlineStr"/>
      <c r="AL56" s="2" t="inlineStr"/>
      <c r="AM56" s="2" t="inlineStr"/>
      <c r="AN56" s="2" t="inlineStr"/>
      <c r="AO56" s="2" t="inlineStr">
        <is>
          <t>Medium</t>
        </is>
      </c>
      <c r="AP56" s="2" t="inlineStr"/>
      <c r="AQ56" s="2" t="inlineStr"/>
      <c r="AR56" s="2" t="inlineStr"/>
      <c r="AS56" s="2" t="inlineStr">
        <is>
          <t>Verified HD facility</t>
        </is>
      </c>
      <c r="AT56" s="2" t="inlineStr">
        <is>
          <t>Tier_2</t>
        </is>
      </c>
      <c r="AU56" s="2" t="inlineStr">
        <is>
          <t>OBSERVED</t>
        </is>
      </c>
      <c r="AV56" s="2" t="inlineStr">
        <is>
          <t>Very High</t>
        </is>
      </c>
      <c r="AW56" s="2" t="inlineStr">
        <is>
          <t>SRC-WEB-030;SRC-WEB-031</t>
        </is>
      </c>
      <c r="AX56" s="2" t="inlineStr">
        <is>
          <t>https://pmc.ncbi.nlm.nih.gov/articles/PMC5678924/;https://pmc.ncbi.nlm.nih.gov/articles/PMC10686920/</t>
        </is>
      </c>
      <c r="AY56" s="2" t="inlineStr">
        <is>
          <t>Named in Oman dialysis studies.</t>
        </is>
      </c>
      <c r="AZ56" s="2" t="inlineStr">
        <is>
          <t>SOURCE-VERIFIED HD SERVICE; CURRENT STATUS SHOULD BE RECHECKED WHERE SOURCE IS HISTORICAL</t>
        </is>
      </c>
      <c r="BA56" s="2" t="inlineStr">
        <is>
          <t>2026-08-10</t>
        </is>
      </c>
      <c r="BB56" s="2" t="inlineStr">
        <is>
          <t>ANALYST_SCENARIO</t>
        </is>
      </c>
      <c r="BC56" s="2" t="inlineStr">
        <is>
          <t>Analyst prioritization based on verified HD service; not observed market share.</t>
        </is>
      </c>
    </row>
    <row r="57">
      <c r="A57" s="2" t="inlineStr">
        <is>
          <t>OMN-F014</t>
        </is>
      </c>
      <c r="B57" s="2" t="inlineStr">
        <is>
          <t>Oman</t>
        </is>
      </c>
      <c r="C57" s="2" t="inlineStr">
        <is>
          <t>OMN</t>
        </is>
      </c>
      <c r="D57" s="2" t="inlineStr">
        <is>
          <t>Qurayyat Hospital</t>
        </is>
      </c>
      <c r="E57" s="2" t="inlineStr">
        <is>
          <t>Hospital_Dialysis_Unit</t>
        </is>
      </c>
      <c r="F57" s="2" t="inlineStr">
        <is>
          <t>Hospital-based HD</t>
        </is>
      </c>
      <c r="G57" s="2" t="inlineStr">
        <is>
          <t>Qurayyat</t>
        </is>
      </c>
      <c r="H57" s="2" t="inlineStr">
        <is>
          <t>Muscat</t>
        </is>
      </c>
      <c r="I57" s="2" t="inlineStr">
        <is>
          <t>Muscat</t>
        </is>
      </c>
      <c r="J57" s="2" t="inlineStr"/>
      <c r="K57" s="2" t="inlineStr"/>
      <c r="L57" s="2" t="inlineStr"/>
      <c r="M57" s="2" t="inlineStr"/>
      <c r="N57" s="2" t="inlineStr"/>
      <c r="O57" s="2" t="inlineStr">
        <is>
          <t>Government</t>
        </is>
      </c>
      <c r="P57" s="2" t="inlineStr">
        <is>
          <t>Government</t>
        </is>
      </c>
      <c r="Q57" s="2" t="inlineStr">
        <is>
          <t>Yes</t>
        </is>
      </c>
      <c r="R57" s="2" t="inlineStr"/>
      <c r="S57" s="2" t="inlineStr"/>
      <c r="T57" s="2" t="inlineStr"/>
      <c r="U57" s="2" t="inlineStr"/>
      <c r="V57" s="2" t="inlineStr"/>
      <c r="W57" s="2" t="inlineStr"/>
      <c r="X57" s="2" t="inlineStr"/>
      <c r="Y57" s="2" t="n"/>
      <c r="Z57" s="2" t="inlineStr"/>
      <c r="AA57" s="2" t="inlineStr"/>
      <c r="AB57" s="2" t="inlineStr"/>
      <c r="AC57" s="2" t="n"/>
      <c r="AD57" s="2" t="n"/>
      <c r="AE57" s="2" t="inlineStr"/>
      <c r="AF57" s="2" t="inlineStr"/>
      <c r="AG57" s="2" t="inlineStr"/>
      <c r="AH57" s="2" t="inlineStr"/>
      <c r="AI57" s="2" t="inlineStr"/>
      <c r="AJ57" s="2" t="inlineStr"/>
      <c r="AK57" s="2" t="inlineStr"/>
      <c r="AL57" s="2" t="inlineStr"/>
      <c r="AM57" s="2" t="inlineStr"/>
      <c r="AN57" s="2" t="inlineStr"/>
      <c r="AO57" s="2" t="inlineStr">
        <is>
          <t>Medium</t>
        </is>
      </c>
      <c r="AP57" s="2" t="inlineStr"/>
      <c r="AQ57" s="2" t="inlineStr"/>
      <c r="AR57" s="2" t="inlineStr"/>
      <c r="AS57" s="2" t="inlineStr">
        <is>
          <t>Verified HD facility</t>
        </is>
      </c>
      <c r="AT57" s="2" t="inlineStr">
        <is>
          <t>Tier_2</t>
        </is>
      </c>
      <c r="AU57" s="2" t="inlineStr">
        <is>
          <t>OBSERVED</t>
        </is>
      </c>
      <c r="AV57" s="2" t="inlineStr">
        <is>
          <t>Very High</t>
        </is>
      </c>
      <c r="AW57" s="2" t="inlineStr">
        <is>
          <t>SRC-WEB-030;SRC-WEB-031</t>
        </is>
      </c>
      <c r="AX57" s="2" t="inlineStr">
        <is>
          <t>https://pmc.ncbi.nlm.nih.gov/articles/PMC5678924/;https://pmc.ncbi.nlm.nih.gov/articles/PMC10686920/</t>
        </is>
      </c>
      <c r="AY57" s="2" t="inlineStr">
        <is>
          <t>Named in Oman dialysis studies.</t>
        </is>
      </c>
      <c r="AZ57" s="2" t="inlineStr">
        <is>
          <t>SOURCE-VERIFIED HD SERVICE; CURRENT STATUS SHOULD BE RECHECKED WHERE SOURCE IS HISTORICAL</t>
        </is>
      </c>
      <c r="BA57" s="2" t="inlineStr">
        <is>
          <t>2026-08-10</t>
        </is>
      </c>
      <c r="BB57" s="2" t="inlineStr">
        <is>
          <t>ANALYST_SCENARIO</t>
        </is>
      </c>
      <c r="BC57" s="2" t="inlineStr">
        <is>
          <t>Analyst prioritization based on verified HD service; not observed market share.</t>
        </is>
      </c>
    </row>
    <row r="58">
      <c r="A58" s="2" t="inlineStr">
        <is>
          <t>OMN-F015</t>
        </is>
      </c>
      <c r="B58" s="2" t="inlineStr">
        <is>
          <t>Oman</t>
        </is>
      </c>
      <c r="C58" s="2" t="inlineStr">
        <is>
          <t>OMN</t>
        </is>
      </c>
      <c r="D58" s="2" t="inlineStr">
        <is>
          <t>Al Buraimi Hospital</t>
        </is>
      </c>
      <c r="E58" s="2" t="inlineStr">
        <is>
          <t>Hospital_Dialysis_Unit</t>
        </is>
      </c>
      <c r="F58" s="2" t="inlineStr">
        <is>
          <t>Hospital-based HD</t>
        </is>
      </c>
      <c r="G58" s="2" t="inlineStr">
        <is>
          <t>Al Buraimi</t>
        </is>
      </c>
      <c r="H58" s="2" t="inlineStr">
        <is>
          <t>Al Buraimi</t>
        </is>
      </c>
      <c r="I58" s="2" t="inlineStr">
        <is>
          <t>Al Buraimi</t>
        </is>
      </c>
      <c r="J58" s="2" t="inlineStr"/>
      <c r="K58" s="2" t="inlineStr"/>
      <c r="L58" s="2" t="inlineStr"/>
      <c r="M58" s="2" t="inlineStr"/>
      <c r="N58" s="2" t="inlineStr"/>
      <c r="O58" s="2" t="inlineStr">
        <is>
          <t>Government</t>
        </is>
      </c>
      <c r="P58" s="2" t="inlineStr">
        <is>
          <t>Government</t>
        </is>
      </c>
      <c r="Q58" s="2" t="inlineStr">
        <is>
          <t>Yes</t>
        </is>
      </c>
      <c r="R58" s="2" t="inlineStr"/>
      <c r="S58" s="2" t="inlineStr"/>
      <c r="T58" s="2" t="inlineStr"/>
      <c r="U58" s="2" t="inlineStr"/>
      <c r="V58" s="2" t="inlineStr"/>
      <c r="W58" s="2" t="inlineStr"/>
      <c r="X58" s="2" t="inlineStr"/>
      <c r="Y58" s="2" t="n"/>
      <c r="Z58" s="2" t="inlineStr"/>
      <c r="AA58" s="2" t="inlineStr"/>
      <c r="AB58" s="2" t="inlineStr"/>
      <c r="AC58" s="2" t="n"/>
      <c r="AD58" s="2" t="n"/>
      <c r="AE58" s="2" t="inlineStr"/>
      <c r="AF58" s="2" t="inlineStr"/>
      <c r="AG58" s="2" t="inlineStr"/>
      <c r="AH58" s="2" t="inlineStr"/>
      <c r="AI58" s="2" t="inlineStr"/>
      <c r="AJ58" s="2" t="inlineStr"/>
      <c r="AK58" s="2" t="inlineStr"/>
      <c r="AL58" s="2" t="inlineStr"/>
      <c r="AM58" s="2" t="inlineStr"/>
      <c r="AN58" s="2" t="inlineStr"/>
      <c r="AO58" s="2" t="inlineStr">
        <is>
          <t>Medium</t>
        </is>
      </c>
      <c r="AP58" s="2" t="inlineStr"/>
      <c r="AQ58" s="2" t="inlineStr"/>
      <c r="AR58" s="2" t="inlineStr"/>
      <c r="AS58" s="2" t="inlineStr">
        <is>
          <t>Verified HD facility</t>
        </is>
      </c>
      <c r="AT58" s="2" t="inlineStr">
        <is>
          <t>Tier_2</t>
        </is>
      </c>
      <c r="AU58" s="2" t="inlineStr">
        <is>
          <t>OBSERVED</t>
        </is>
      </c>
      <c r="AV58" s="2" t="inlineStr">
        <is>
          <t>Very High</t>
        </is>
      </c>
      <c r="AW58" s="2" t="inlineStr">
        <is>
          <t>SRC-WEB-030;SRC-WEB-031</t>
        </is>
      </c>
      <c r="AX58" s="2" t="inlineStr">
        <is>
          <t>https://pmc.ncbi.nlm.nih.gov/articles/PMC5678924/;https://pmc.ncbi.nlm.nih.gov/articles/PMC10686920/</t>
        </is>
      </c>
      <c r="AY58" s="2" t="inlineStr">
        <is>
          <t>Named in Oman dialysis studies.</t>
        </is>
      </c>
      <c r="AZ58" s="2" t="inlineStr">
        <is>
          <t>SOURCE-VERIFIED HD SERVICE; CURRENT STATUS SHOULD BE RECHECKED WHERE SOURCE IS HISTORICAL</t>
        </is>
      </c>
      <c r="BA58" s="2" t="inlineStr">
        <is>
          <t>2026-08-10</t>
        </is>
      </c>
      <c r="BB58" s="2" t="inlineStr">
        <is>
          <t>ANALYST_SCENARIO</t>
        </is>
      </c>
      <c r="BC58" s="2" t="inlineStr">
        <is>
          <t>Analyst prioritization based on verified HD service; not observed market share.</t>
        </is>
      </c>
    </row>
    <row r="59">
      <c r="A59" s="2" t="inlineStr">
        <is>
          <t>OMN-F016</t>
        </is>
      </c>
      <c r="B59" s="2" t="inlineStr">
        <is>
          <t>Oman</t>
        </is>
      </c>
      <c r="C59" s="2" t="inlineStr">
        <is>
          <t>OMN</t>
        </is>
      </c>
      <c r="D59" s="2" t="inlineStr">
        <is>
          <t>Musannah Renal Dialysis Center</t>
        </is>
      </c>
      <c r="E59" s="2" t="inlineStr">
        <is>
          <t>Standalone_Dialysis_Center</t>
        </is>
      </c>
      <c r="F59" s="2" t="inlineStr">
        <is>
          <t>Standalone HD center</t>
        </is>
      </c>
      <c r="G59" s="2" t="inlineStr">
        <is>
          <t>Al Musannah</t>
        </is>
      </c>
      <c r="H59" s="2" t="inlineStr">
        <is>
          <t>South Al Batinah</t>
        </is>
      </c>
      <c r="I59" s="2" t="inlineStr">
        <is>
          <t>South Al Batinah</t>
        </is>
      </c>
      <c r="J59" s="2" t="inlineStr"/>
      <c r="K59" s="2" t="inlineStr"/>
      <c r="L59" s="2" t="inlineStr"/>
      <c r="M59" s="2" t="inlineStr">
        <is>
          <t>Musannah Renal Dialysis Center</t>
        </is>
      </c>
      <c r="N59" s="2" t="inlineStr"/>
      <c r="O59" s="2" t="inlineStr">
        <is>
          <t>Government</t>
        </is>
      </c>
      <c r="P59" s="2" t="inlineStr">
        <is>
          <t>Government</t>
        </is>
      </c>
      <c r="Q59" s="2" t="inlineStr">
        <is>
          <t>Yes</t>
        </is>
      </c>
      <c r="R59" s="2" t="inlineStr"/>
      <c r="S59" s="2" t="inlineStr"/>
      <c r="T59" s="2" t="inlineStr"/>
      <c r="U59" s="2" t="inlineStr"/>
      <c r="V59" s="2" t="inlineStr"/>
      <c r="W59" s="2" t="inlineStr"/>
      <c r="X59" s="2" t="inlineStr"/>
      <c r="Y59" s="2" t="n"/>
      <c r="Z59" s="2" t="inlineStr"/>
      <c r="AA59" s="2" t="inlineStr"/>
      <c r="AB59" s="2" t="inlineStr"/>
      <c r="AC59" s="2" t="n"/>
      <c r="AD59" s="2" t="n"/>
      <c r="AE59" s="2" t="inlineStr"/>
      <c r="AF59" s="2" t="inlineStr"/>
      <c r="AG59" s="2" t="inlineStr"/>
      <c r="AH59" s="2" t="inlineStr"/>
      <c r="AI59" s="2" t="inlineStr"/>
      <c r="AJ59" s="2" t="inlineStr"/>
      <c r="AK59" s="2" t="inlineStr"/>
      <c r="AL59" s="2" t="inlineStr"/>
      <c r="AM59" s="2" t="inlineStr"/>
      <c r="AN59" s="2" t="inlineStr"/>
      <c r="AO59" s="2" t="inlineStr">
        <is>
          <t>Medium</t>
        </is>
      </c>
      <c r="AP59" s="2" t="inlineStr"/>
      <c r="AQ59" s="2" t="inlineStr"/>
      <c r="AR59" s="2" t="inlineStr"/>
      <c r="AS59" s="2" t="inlineStr">
        <is>
          <t>Verified HD facility</t>
        </is>
      </c>
      <c r="AT59" s="2" t="inlineStr">
        <is>
          <t>Tier_2</t>
        </is>
      </c>
      <c r="AU59" s="2" t="inlineStr">
        <is>
          <t>OBSERVED</t>
        </is>
      </c>
      <c r="AV59" s="2" t="inlineStr">
        <is>
          <t>Very High</t>
        </is>
      </c>
      <c r="AW59" s="2" t="inlineStr">
        <is>
          <t>SRC-WEB-030</t>
        </is>
      </c>
      <c r="AX59" s="2" t="inlineStr">
        <is>
          <t>https://pmc.ncbi.nlm.nih.gov/articles/PMC5678924/</t>
        </is>
      </c>
      <c r="AY59" s="2" t="inlineStr">
        <is>
          <t>Historical 2013 dialysis facility; current status should be rechecked.</t>
        </is>
      </c>
      <c r="AZ59" s="2" t="inlineStr">
        <is>
          <t>SOURCE-VERIFIED HD SERVICE; CURRENT STATUS SHOULD BE RECHECKED WHERE SOURCE IS HISTORICAL</t>
        </is>
      </c>
      <c r="BA59" s="2" t="inlineStr">
        <is>
          <t>2026-08-10</t>
        </is>
      </c>
      <c r="BB59" s="2" t="inlineStr">
        <is>
          <t>ANALYST_SCENARIO</t>
        </is>
      </c>
      <c r="BC59" s="2" t="inlineStr">
        <is>
          <t>Analyst prioritization based on verified HD service; not observed market share.</t>
        </is>
      </c>
    </row>
    <row r="60">
      <c r="A60" s="2" t="inlineStr">
        <is>
          <t>OMN-F017</t>
        </is>
      </c>
      <c r="B60" s="2" t="inlineStr">
        <is>
          <t>Oman</t>
        </is>
      </c>
      <c r="C60" s="2" t="inlineStr">
        <is>
          <t>OMN</t>
        </is>
      </c>
      <c r="D60" s="2" t="inlineStr">
        <is>
          <t>Samael Renal Dialysis Center</t>
        </is>
      </c>
      <c r="E60" s="2" t="inlineStr">
        <is>
          <t>Standalone_Dialysis_Center</t>
        </is>
      </c>
      <c r="F60" s="2" t="inlineStr">
        <is>
          <t>Standalone HD center</t>
        </is>
      </c>
      <c r="G60" s="2" t="inlineStr">
        <is>
          <t>Samail</t>
        </is>
      </c>
      <c r="H60" s="2" t="inlineStr">
        <is>
          <t>Ad Dakhiliyah</t>
        </is>
      </c>
      <c r="I60" s="2" t="inlineStr">
        <is>
          <t>Ad Dakhiliyah</t>
        </is>
      </c>
      <c r="J60" s="2" t="inlineStr"/>
      <c r="K60" s="2" t="inlineStr"/>
      <c r="L60" s="2" t="inlineStr"/>
      <c r="M60" s="2" t="inlineStr">
        <is>
          <t>Samael Renal Dialysis Center</t>
        </is>
      </c>
      <c r="N60" s="2" t="inlineStr"/>
      <c r="O60" s="2" t="inlineStr">
        <is>
          <t>Government</t>
        </is>
      </c>
      <c r="P60" s="2" t="inlineStr">
        <is>
          <t>Government</t>
        </is>
      </c>
      <c r="Q60" s="2" t="inlineStr">
        <is>
          <t>Yes</t>
        </is>
      </c>
      <c r="R60" s="2" t="inlineStr"/>
      <c r="S60" s="2" t="inlineStr"/>
      <c r="T60" s="2" t="inlineStr"/>
      <c r="U60" s="2" t="inlineStr"/>
      <c r="V60" s="2" t="inlineStr"/>
      <c r="W60" s="2" t="inlineStr"/>
      <c r="X60" s="2" t="inlineStr"/>
      <c r="Y60" s="2" t="n"/>
      <c r="Z60" s="2" t="inlineStr"/>
      <c r="AA60" s="2" t="inlineStr"/>
      <c r="AB60" s="2" t="inlineStr"/>
      <c r="AC60" s="2" t="n"/>
      <c r="AD60" s="2" t="n"/>
      <c r="AE60" s="2" t="inlineStr"/>
      <c r="AF60" s="2" t="inlineStr"/>
      <c r="AG60" s="2" t="inlineStr"/>
      <c r="AH60" s="2" t="inlineStr"/>
      <c r="AI60" s="2" t="inlineStr"/>
      <c r="AJ60" s="2" t="inlineStr"/>
      <c r="AK60" s="2" t="inlineStr"/>
      <c r="AL60" s="2" t="inlineStr"/>
      <c r="AM60" s="2" t="inlineStr"/>
      <c r="AN60" s="2" t="inlineStr"/>
      <c r="AO60" s="2" t="inlineStr">
        <is>
          <t>Medium</t>
        </is>
      </c>
      <c r="AP60" s="2" t="inlineStr"/>
      <c r="AQ60" s="2" t="inlineStr"/>
      <c r="AR60" s="2" t="inlineStr"/>
      <c r="AS60" s="2" t="inlineStr">
        <is>
          <t>Verified HD facility</t>
        </is>
      </c>
      <c r="AT60" s="2" t="inlineStr">
        <is>
          <t>Tier_2</t>
        </is>
      </c>
      <c r="AU60" s="2" t="inlineStr">
        <is>
          <t>OBSERVED</t>
        </is>
      </c>
      <c r="AV60" s="2" t="inlineStr">
        <is>
          <t>Very High</t>
        </is>
      </c>
      <c r="AW60" s="2" t="inlineStr">
        <is>
          <t>SRC-WEB-030</t>
        </is>
      </c>
      <c r="AX60" s="2" t="inlineStr">
        <is>
          <t>https://pmc.ncbi.nlm.nih.gov/articles/PMC5678924/</t>
        </is>
      </c>
      <c r="AY60" s="2" t="inlineStr">
        <is>
          <t>Historical 2013 dialysis facility; current status should be rechecked.</t>
        </is>
      </c>
      <c r="AZ60" s="2" t="inlineStr">
        <is>
          <t>SOURCE-VERIFIED HD SERVICE; CURRENT STATUS SHOULD BE RECHECKED WHERE SOURCE IS HISTORICAL</t>
        </is>
      </c>
      <c r="BA60" s="2" t="inlineStr">
        <is>
          <t>2026-08-10</t>
        </is>
      </c>
      <c r="BB60" s="2" t="inlineStr">
        <is>
          <t>ANALYST_SCENARIO</t>
        </is>
      </c>
      <c r="BC60" s="2" t="inlineStr">
        <is>
          <t>Analyst prioritization based on verified HD service; not observed market share.</t>
        </is>
      </c>
    </row>
    <row r="61">
      <c r="A61" s="2" t="inlineStr">
        <is>
          <t>OMN-F018</t>
        </is>
      </c>
      <c r="B61" s="2" t="inlineStr">
        <is>
          <t>Oman</t>
        </is>
      </c>
      <c r="C61" s="2" t="inlineStr">
        <is>
          <t>OMN</t>
        </is>
      </c>
      <c r="D61" s="2" t="inlineStr">
        <is>
          <t>Sinaw Hospital</t>
        </is>
      </c>
      <c r="E61" s="2" t="inlineStr">
        <is>
          <t>Hospital_Dialysis_Unit</t>
        </is>
      </c>
      <c r="F61" s="2" t="inlineStr">
        <is>
          <t>Hospital-based HD</t>
        </is>
      </c>
      <c r="G61" s="2" t="inlineStr">
        <is>
          <t>Sinaw</t>
        </is>
      </c>
      <c r="H61" s="2" t="inlineStr">
        <is>
          <t>North Sharqiyah</t>
        </is>
      </c>
      <c r="I61" s="2" t="inlineStr">
        <is>
          <t>North Sharqiyah</t>
        </is>
      </c>
      <c r="J61" s="2" t="inlineStr"/>
      <c r="K61" s="2" t="inlineStr"/>
      <c r="L61" s="2" t="inlineStr"/>
      <c r="M61" s="2" t="inlineStr"/>
      <c r="N61" s="2" t="inlineStr"/>
      <c r="O61" s="2" t="inlineStr">
        <is>
          <t>Government</t>
        </is>
      </c>
      <c r="P61" s="2" t="inlineStr">
        <is>
          <t>Government</t>
        </is>
      </c>
      <c r="Q61" s="2" t="inlineStr">
        <is>
          <t>Yes</t>
        </is>
      </c>
      <c r="R61" s="2" t="inlineStr"/>
      <c r="S61" s="2" t="inlineStr"/>
      <c r="T61" s="2" t="inlineStr"/>
      <c r="U61" s="2" t="inlineStr"/>
      <c r="V61" s="2" t="inlineStr"/>
      <c r="W61" s="2" t="inlineStr"/>
      <c r="X61" s="2" t="inlineStr"/>
      <c r="Y61" s="2" t="n"/>
      <c r="Z61" s="2" t="inlineStr"/>
      <c r="AA61" s="2" t="inlineStr"/>
      <c r="AB61" s="2" t="inlineStr"/>
      <c r="AC61" s="2" t="n"/>
      <c r="AD61" s="2" t="n"/>
      <c r="AE61" s="2" t="inlineStr"/>
      <c r="AF61" s="2" t="inlineStr"/>
      <c r="AG61" s="2" t="inlineStr"/>
      <c r="AH61" s="2" t="inlineStr"/>
      <c r="AI61" s="2" t="inlineStr"/>
      <c r="AJ61" s="2" t="inlineStr"/>
      <c r="AK61" s="2" t="inlineStr"/>
      <c r="AL61" s="2" t="inlineStr"/>
      <c r="AM61" s="2" t="inlineStr"/>
      <c r="AN61" s="2" t="inlineStr"/>
      <c r="AO61" s="2" t="inlineStr">
        <is>
          <t>Medium</t>
        </is>
      </c>
      <c r="AP61" s="2" t="inlineStr"/>
      <c r="AQ61" s="2" t="inlineStr"/>
      <c r="AR61" s="2" t="inlineStr"/>
      <c r="AS61" s="2" t="inlineStr">
        <is>
          <t>Verified HD facility</t>
        </is>
      </c>
      <c r="AT61" s="2" t="inlineStr">
        <is>
          <t>Tier_2</t>
        </is>
      </c>
      <c r="AU61" s="2" t="inlineStr">
        <is>
          <t>OBSERVED</t>
        </is>
      </c>
      <c r="AV61" s="2" t="inlineStr">
        <is>
          <t>Very High</t>
        </is>
      </c>
      <c r="AW61" s="2" t="inlineStr">
        <is>
          <t>SRC-WEB-030</t>
        </is>
      </c>
      <c r="AX61" s="2" t="inlineStr">
        <is>
          <t>https://pmc.ncbi.nlm.nih.gov/articles/PMC5678924/</t>
        </is>
      </c>
      <c r="AY61" s="2" t="inlineStr">
        <is>
          <t>Historical 2013 dialysis facility; current status should be rechecked.</t>
        </is>
      </c>
      <c r="AZ61" s="2" t="inlineStr">
        <is>
          <t>SOURCE-VERIFIED HD SERVICE; CURRENT STATUS SHOULD BE RECHECKED WHERE SOURCE IS HISTORICAL</t>
        </is>
      </c>
      <c r="BA61" s="2" t="inlineStr">
        <is>
          <t>2026-08-10</t>
        </is>
      </c>
      <c r="BB61" s="2" t="inlineStr">
        <is>
          <t>ANALYST_SCENARIO</t>
        </is>
      </c>
      <c r="BC61" s="2" t="inlineStr">
        <is>
          <t>Analyst prioritization based on verified HD service; not observed market share.</t>
        </is>
      </c>
    </row>
    <row r="62">
      <c r="A62" s="2" t="inlineStr">
        <is>
          <t>OMN-F019</t>
        </is>
      </c>
      <c r="B62" s="2" t="inlineStr">
        <is>
          <t>Oman</t>
        </is>
      </c>
      <c r="C62" s="2" t="inlineStr">
        <is>
          <t>OMN</t>
        </is>
      </c>
      <c r="D62" s="2" t="inlineStr">
        <is>
          <t>Al Seeb Renal Dialysis Center</t>
        </is>
      </c>
      <c r="E62" s="2" t="inlineStr">
        <is>
          <t>Standalone_Dialysis_Center</t>
        </is>
      </c>
      <c r="F62" s="2" t="inlineStr">
        <is>
          <t>Standalone HD center</t>
        </is>
      </c>
      <c r="G62" s="2" t="inlineStr">
        <is>
          <t>Seeb</t>
        </is>
      </c>
      <c r="H62" s="2" t="inlineStr">
        <is>
          <t>Muscat</t>
        </is>
      </c>
      <c r="I62" s="2" t="inlineStr">
        <is>
          <t>Muscat</t>
        </is>
      </c>
      <c r="J62" s="2" t="inlineStr"/>
      <c r="K62" s="2" t="inlineStr"/>
      <c r="L62" s="2" t="inlineStr"/>
      <c r="M62" s="2" t="inlineStr">
        <is>
          <t>Al Seeb Renal Dialysis Center</t>
        </is>
      </c>
      <c r="N62" s="2" t="inlineStr"/>
      <c r="O62" s="2" t="inlineStr">
        <is>
          <t>Government</t>
        </is>
      </c>
      <c r="P62" s="2" t="inlineStr">
        <is>
          <t>Government</t>
        </is>
      </c>
      <c r="Q62" s="2" t="inlineStr">
        <is>
          <t>Yes</t>
        </is>
      </c>
      <c r="R62" s="2" t="inlineStr"/>
      <c r="S62" s="2" t="inlineStr"/>
      <c r="T62" s="2" t="inlineStr"/>
      <c r="U62" s="2" t="inlineStr"/>
      <c r="V62" s="2" t="inlineStr"/>
      <c r="W62" s="2" t="inlineStr"/>
      <c r="X62" s="2" t="inlineStr"/>
      <c r="Y62" s="2" t="n"/>
      <c r="Z62" s="2" t="inlineStr"/>
      <c r="AA62" s="2" t="inlineStr"/>
      <c r="AB62" s="2" t="inlineStr"/>
      <c r="AC62" s="2" t="n"/>
      <c r="AD62" s="2" t="n"/>
      <c r="AE62" s="2" t="inlineStr"/>
      <c r="AF62" s="2" t="inlineStr"/>
      <c r="AG62" s="2" t="inlineStr"/>
      <c r="AH62" s="2" t="inlineStr"/>
      <c r="AI62" s="2" t="inlineStr"/>
      <c r="AJ62" s="2" t="inlineStr"/>
      <c r="AK62" s="2" t="inlineStr"/>
      <c r="AL62" s="2" t="inlineStr"/>
      <c r="AM62" s="2" t="inlineStr"/>
      <c r="AN62" s="2" t="inlineStr"/>
      <c r="AO62" s="2" t="inlineStr">
        <is>
          <t>High</t>
        </is>
      </c>
      <c r="AP62" s="2" t="inlineStr"/>
      <c r="AQ62" s="2" t="inlineStr"/>
      <c r="AR62" s="2" t="inlineStr"/>
      <c r="AS62" s="2" t="inlineStr">
        <is>
          <t>Verified HD facility</t>
        </is>
      </c>
      <c r="AT62" s="2" t="inlineStr">
        <is>
          <t>Tier_1</t>
        </is>
      </c>
      <c r="AU62" s="2" t="inlineStr">
        <is>
          <t>OBSERVED</t>
        </is>
      </c>
      <c r="AV62" s="2" t="inlineStr">
        <is>
          <t>Very High</t>
        </is>
      </c>
      <c r="AW62" s="2" t="inlineStr">
        <is>
          <t>SRC-WEB-035;SRC-WEB-031</t>
        </is>
      </c>
      <c r="AX62" s="2" t="inlineStr">
        <is>
          <t>https://moh.gov.om/en/hospitals-directorates/health-centers/al-seeb-renal-dialysis-center/;https://pmc.ncbi.nlm.nih.gov/articles/PMC10686920/</t>
        </is>
      </c>
      <c r="AY62" s="2" t="inlineStr">
        <is>
          <t>Current MOH page and national HD study confirm service.</t>
        </is>
      </c>
      <c r="AZ62" s="2" t="inlineStr">
        <is>
          <t>SOURCE-VERIFIED HD SERVICE; CURRENT STATUS SHOULD BE RECHECKED WHERE SOURCE IS HISTORICAL</t>
        </is>
      </c>
      <c r="BA62" s="2" t="inlineStr">
        <is>
          <t>2026-08-10</t>
        </is>
      </c>
      <c r="BB62" s="2" t="inlineStr">
        <is>
          <t>ANALYST_SCENARIO</t>
        </is>
      </c>
      <c r="BC62" s="2" t="inlineStr">
        <is>
          <t>Analyst prioritization based on verified HD service; not observed market share.</t>
        </is>
      </c>
    </row>
    <row r="63">
      <c r="A63" s="2" t="inlineStr">
        <is>
          <t>OMN-F020</t>
        </is>
      </c>
      <c r="B63" s="2" t="inlineStr">
        <is>
          <t>Oman</t>
        </is>
      </c>
      <c r="C63" s="2" t="inlineStr">
        <is>
          <t>OMN</t>
        </is>
      </c>
      <c r="D63" s="2" t="inlineStr">
        <is>
          <t>Al Amerat Renal Dialysis Center</t>
        </is>
      </c>
      <c r="E63" s="2" t="inlineStr">
        <is>
          <t>Standalone_Dialysis_Center</t>
        </is>
      </c>
      <c r="F63" s="2" t="inlineStr">
        <is>
          <t>Standalone HD center</t>
        </is>
      </c>
      <c r="G63" s="2" t="inlineStr">
        <is>
          <t>Al Amerat</t>
        </is>
      </c>
      <c r="H63" s="2" t="inlineStr">
        <is>
          <t>Muscat</t>
        </is>
      </c>
      <c r="I63" s="2" t="inlineStr">
        <is>
          <t>Muscat</t>
        </is>
      </c>
      <c r="J63" s="2" t="inlineStr"/>
      <c r="K63" s="2" t="inlineStr"/>
      <c r="L63" s="2" t="inlineStr"/>
      <c r="M63" s="2" t="inlineStr">
        <is>
          <t>Al Amerat Renal Dialysis Center</t>
        </is>
      </c>
      <c r="N63" s="2" t="inlineStr"/>
      <c r="O63" s="2" t="inlineStr">
        <is>
          <t>Government</t>
        </is>
      </c>
      <c r="P63" s="2" t="inlineStr">
        <is>
          <t>Government</t>
        </is>
      </c>
      <c r="Q63" s="2" t="inlineStr">
        <is>
          <t>Yes</t>
        </is>
      </c>
      <c r="R63" s="2" t="inlineStr"/>
      <c r="S63" s="2" t="inlineStr"/>
      <c r="T63" s="2" t="inlineStr"/>
      <c r="U63" s="2" t="inlineStr"/>
      <c r="V63" s="2" t="inlineStr"/>
      <c r="W63" s="2" t="inlineStr"/>
      <c r="X63" s="2" t="inlineStr"/>
      <c r="Y63" s="2" t="n"/>
      <c r="Z63" s="2" t="inlineStr"/>
      <c r="AA63" s="2" t="inlineStr"/>
      <c r="AB63" s="2" t="inlineStr"/>
      <c r="AC63" s="2" t="n"/>
      <c r="AD63" s="2" t="n"/>
      <c r="AE63" s="2" t="inlineStr"/>
      <c r="AF63" s="2" t="inlineStr"/>
      <c r="AG63" s="2" t="inlineStr"/>
      <c r="AH63" s="2" t="inlineStr"/>
      <c r="AI63" s="2" t="inlineStr"/>
      <c r="AJ63" s="2" t="inlineStr"/>
      <c r="AK63" s="2" t="inlineStr"/>
      <c r="AL63" s="2" t="inlineStr"/>
      <c r="AM63" s="2" t="inlineStr"/>
      <c r="AN63" s="2" t="inlineStr"/>
      <c r="AO63" s="2" t="inlineStr">
        <is>
          <t>Medium</t>
        </is>
      </c>
      <c r="AP63" s="2" t="inlineStr"/>
      <c r="AQ63" s="2" t="inlineStr"/>
      <c r="AR63" s="2" t="inlineStr"/>
      <c r="AS63" s="2" t="inlineStr">
        <is>
          <t>Verified HD facility</t>
        </is>
      </c>
      <c r="AT63" s="2" t="inlineStr">
        <is>
          <t>Tier_2</t>
        </is>
      </c>
      <c r="AU63" s="2" t="inlineStr">
        <is>
          <t>OBSERVED</t>
        </is>
      </c>
      <c r="AV63" s="2" t="inlineStr">
        <is>
          <t>Very High</t>
        </is>
      </c>
      <c r="AW63" s="2" t="inlineStr">
        <is>
          <t>SRC-WEB-033</t>
        </is>
      </c>
      <c r="AX63" s="2" t="inlineStr">
        <is>
          <t>https://moh.gov.om/en/media-center/news/new-dialysis-center-in-al-amerat-opened/</t>
        </is>
      </c>
      <c r="AY63" s="2" t="inlineStr">
        <is>
          <t>MOH opened the center in 2022 with 42 beds; beds are not converted to HD stations.</t>
        </is>
      </c>
      <c r="AZ63" s="2" t="inlineStr">
        <is>
          <t>SOURCE-VERIFIED HD SERVICE; CURRENT STATUS SHOULD BE RECHECKED WHERE SOURCE IS HISTORICAL</t>
        </is>
      </c>
      <c r="BA63" s="2" t="inlineStr">
        <is>
          <t>2026-08-10</t>
        </is>
      </c>
      <c r="BB63" s="2" t="inlineStr">
        <is>
          <t>ANALYST_SCENARIO</t>
        </is>
      </c>
      <c r="BC63" s="2" t="inlineStr">
        <is>
          <t>Analyst prioritization based on verified HD service; not observed market share.</t>
        </is>
      </c>
    </row>
    <row r="64">
      <c r="A64" s="2" t="inlineStr">
        <is>
          <t>BHR-F001</t>
        </is>
      </c>
      <c r="B64" s="2" t="inlineStr">
        <is>
          <t>Bahrain</t>
        </is>
      </c>
      <c r="C64" s="2" t="inlineStr">
        <is>
          <t>BHR</t>
        </is>
      </c>
      <c r="D64" s="2" t="inlineStr">
        <is>
          <t>Abdulrahman Kanoo Dialysis Center</t>
        </is>
      </c>
      <c r="E64" s="2" t="inlineStr">
        <is>
          <t>Standalone_Dialysis_Center</t>
        </is>
      </c>
      <c r="F64" s="2" t="inlineStr">
        <is>
          <t>Standalone HD center</t>
        </is>
      </c>
      <c r="G64" s="2" t="inlineStr">
        <is>
          <t>Muharraq</t>
        </is>
      </c>
      <c r="H64" s="2" t="inlineStr">
        <is>
          <t>Muharraq</t>
        </is>
      </c>
      <c r="I64" s="2" t="inlineStr">
        <is>
          <t>Muharraq</t>
        </is>
      </c>
      <c r="J64" s="2" t="inlineStr"/>
      <c r="K64" s="2" t="inlineStr"/>
      <c r="L64" s="2" t="inlineStr"/>
      <c r="M64" s="2" t="inlineStr">
        <is>
          <t>Abdulrahman Kanoo Dialysis Center</t>
        </is>
      </c>
      <c r="N64" s="2" t="inlineStr"/>
      <c r="O64" s="2" t="inlineStr">
        <is>
          <t>Government</t>
        </is>
      </c>
      <c r="P64" s="2" t="inlineStr">
        <is>
          <t>Government</t>
        </is>
      </c>
      <c r="Q64" s="2" t="inlineStr">
        <is>
          <t>Yes</t>
        </is>
      </c>
      <c r="R64" s="2" t="inlineStr"/>
      <c r="S64" s="2" t="inlineStr"/>
      <c r="T64" s="2" t="inlineStr"/>
      <c r="U64" s="2" t="inlineStr"/>
      <c r="V64" s="2" t="inlineStr"/>
      <c r="W64" s="2" t="inlineStr"/>
      <c r="X64" s="2" t="inlineStr"/>
      <c r="Y64" s="2" t="n"/>
      <c r="Z64" s="2" t="inlineStr"/>
      <c r="AA64" s="2" t="inlineStr"/>
      <c r="AB64" s="2" t="inlineStr"/>
      <c r="AC64" s="2" t="n"/>
      <c r="AD64" s="2" t="n"/>
      <c r="AE64" s="2" t="inlineStr"/>
      <c r="AF64" s="2" t="inlineStr"/>
      <c r="AG64" s="2" t="inlineStr"/>
      <c r="AH64" s="2" t="inlineStr"/>
      <c r="AI64" s="2" t="inlineStr"/>
      <c r="AJ64" s="2" t="inlineStr"/>
      <c r="AK64" s="2" t="inlineStr"/>
      <c r="AL64" s="2" t="inlineStr"/>
      <c r="AM64" s="2" t="inlineStr"/>
      <c r="AN64" s="2" t="inlineStr"/>
      <c r="AO64" s="2" t="inlineStr">
        <is>
          <t>Very_High</t>
        </is>
      </c>
      <c r="AP64" s="2" t="inlineStr"/>
      <c r="AQ64" s="2" t="inlineStr"/>
      <c r="AR64" s="2" t="inlineStr"/>
      <c r="AS64" s="2" t="inlineStr">
        <is>
          <t>Verified HD facility</t>
        </is>
      </c>
      <c r="AT64" s="2" t="inlineStr">
        <is>
          <t>Tier_1</t>
        </is>
      </c>
      <c r="AU64" s="2" t="inlineStr">
        <is>
          <t>OBSERVED</t>
        </is>
      </c>
      <c r="AV64" s="2" t="inlineStr">
        <is>
          <t>Very High</t>
        </is>
      </c>
      <c r="AW64" s="2" t="inlineStr">
        <is>
          <t>SRC-WEB-037;SRC-WEB-038</t>
        </is>
      </c>
      <c r="AX64" s="2" t="inlineStr">
        <is>
          <t>https://www.moh.gov.bh/Content/Upload/File/638728900890233427-Annual-Health-Statistic-2021-2022--Report_en.pdf;https://pmc.ncbi.nlm.nih.gov/articles/PMC13274879/</t>
        </is>
      </c>
      <c r="AY64" s="2" t="inlineStr">
        <is>
          <t>Bahrain MOH annual report states the center provides dialysis procedures; 2026 peer-reviewed study confirms HD and 48 beds.</t>
        </is>
      </c>
      <c r="AZ64" s="2" t="inlineStr">
        <is>
          <t>SOURCE-VERIFIED HD SERVICE; CURRENT STATUS SHOULD BE RECHECKED WHERE SOURCE IS HISTORICAL</t>
        </is>
      </c>
      <c r="BA64" s="2" t="inlineStr">
        <is>
          <t>2026-08-10</t>
        </is>
      </c>
      <c r="BB64" s="2" t="inlineStr">
        <is>
          <t>ANALYST_SCENARIO</t>
        </is>
      </c>
      <c r="BC64" s="2" t="inlineStr">
        <is>
          <t>Analyst prioritization based on verified HD service; not observed market share.</t>
        </is>
      </c>
    </row>
    <row r="65">
      <c r="A65" s="2" t="inlineStr">
        <is>
          <t>BHR-F002</t>
        </is>
      </c>
      <c r="B65" s="2" t="inlineStr">
        <is>
          <t>Bahrain</t>
        </is>
      </c>
      <c r="C65" s="2" t="inlineStr">
        <is>
          <t>BHR</t>
        </is>
      </c>
      <c r="D65" s="2" t="inlineStr">
        <is>
          <t>Salmaniya Medical Complex</t>
        </is>
      </c>
      <c r="E65" s="2" t="inlineStr">
        <is>
          <t>Hospital_Dialysis_Unit</t>
        </is>
      </c>
      <c r="F65" s="2" t="inlineStr">
        <is>
          <t>Hospital-based HD</t>
        </is>
      </c>
      <c r="G65" s="2" t="inlineStr">
        <is>
          <t>Manama</t>
        </is>
      </c>
      <c r="H65" s="2" t="inlineStr">
        <is>
          <t>Capital</t>
        </is>
      </c>
      <c r="I65" s="2" t="inlineStr">
        <is>
          <t>Capital</t>
        </is>
      </c>
      <c r="J65" s="2" t="inlineStr"/>
      <c r="K65" s="2" t="inlineStr"/>
      <c r="L65" s="2" t="inlineStr"/>
      <c r="M65" s="2" t="inlineStr"/>
      <c r="N65" s="2" t="inlineStr"/>
      <c r="O65" s="2" t="inlineStr">
        <is>
          <t>Government</t>
        </is>
      </c>
      <c r="P65" s="2" t="inlineStr">
        <is>
          <t>Government</t>
        </is>
      </c>
      <c r="Q65" s="2" t="inlineStr">
        <is>
          <t>Yes</t>
        </is>
      </c>
      <c r="R65" s="2" t="inlineStr"/>
      <c r="S65" s="2" t="inlineStr"/>
      <c r="T65" s="2" t="inlineStr"/>
      <c r="U65" s="2" t="inlineStr"/>
      <c r="V65" s="2" t="inlineStr"/>
      <c r="W65" s="2" t="inlineStr"/>
      <c r="X65" s="2" t="inlineStr"/>
      <c r="Y65" s="2" t="n"/>
      <c r="Z65" s="2" t="inlineStr"/>
      <c r="AA65" s="2" t="inlineStr"/>
      <c r="AB65" s="2" t="inlineStr"/>
      <c r="AC65" s="2" t="n"/>
      <c r="AD65" s="2" t="n"/>
      <c r="AE65" s="2" t="inlineStr"/>
      <c r="AF65" s="2" t="inlineStr"/>
      <c r="AG65" s="2" t="inlineStr"/>
      <c r="AH65" s="2" t="inlineStr"/>
      <c r="AI65" s="2" t="inlineStr"/>
      <c r="AJ65" s="2" t="inlineStr"/>
      <c r="AK65" s="2" t="inlineStr"/>
      <c r="AL65" s="2" t="inlineStr"/>
      <c r="AM65" s="2" t="inlineStr"/>
      <c r="AN65" s="2" t="inlineStr"/>
      <c r="AO65" s="2" t="inlineStr">
        <is>
          <t>High</t>
        </is>
      </c>
      <c r="AP65" s="2" t="inlineStr"/>
      <c r="AQ65" s="2" t="inlineStr"/>
      <c r="AR65" s="2" t="inlineStr"/>
      <c r="AS65" s="2" t="inlineStr">
        <is>
          <t>Verified HD facility</t>
        </is>
      </c>
      <c r="AT65" s="2" t="inlineStr">
        <is>
          <t>Tier_1</t>
        </is>
      </c>
      <c r="AU65" s="2" t="inlineStr">
        <is>
          <t>OBSERVED</t>
        </is>
      </c>
      <c r="AV65" s="2" t="inlineStr">
        <is>
          <t>Very High</t>
        </is>
      </c>
      <c r="AW65" s="2" t="inlineStr">
        <is>
          <t>SRC-WEB-039</t>
        </is>
      </c>
      <c r="AX65" s="2" t="inlineStr">
        <is>
          <t>https://pmc.ncbi.nlm.nih.gov/articles/PMC10750137/</t>
        </is>
      </c>
      <c r="AY65" s="2" t="inlineStr">
        <is>
          <t>2023 peer-reviewed study enrolled HD patients at Salmaniya Medical Complex.</t>
        </is>
      </c>
      <c r="AZ65" s="2" t="inlineStr">
        <is>
          <t>SOURCE-VERIFIED HD SERVICE; CURRENT STATUS SHOULD BE RECHECKED WHERE SOURCE IS HISTORICAL</t>
        </is>
      </c>
      <c r="BA65" s="2" t="inlineStr">
        <is>
          <t>2026-08-10</t>
        </is>
      </c>
      <c r="BB65" s="2" t="inlineStr">
        <is>
          <t>ANALYST_SCENARIO</t>
        </is>
      </c>
      <c r="BC65" s="2" t="inlineStr">
        <is>
          <t>Analyst prioritization based on verified HD service; not observed market share.</t>
        </is>
      </c>
    </row>
    <row r="66">
      <c r="A66" s="2" t="inlineStr">
        <is>
          <t>JOR-F001</t>
        </is>
      </c>
      <c r="B66" s="2" t="inlineStr">
        <is>
          <t>Jordan</t>
        </is>
      </c>
      <c r="C66" s="2" t="inlineStr">
        <is>
          <t>JOR</t>
        </is>
      </c>
      <c r="D66" s="2" t="inlineStr">
        <is>
          <t>King Abdullah University Hospital</t>
        </is>
      </c>
      <c r="E66" s="2" t="inlineStr">
        <is>
          <t>Hospital_Dialysis_Unit</t>
        </is>
      </c>
      <c r="F66" s="2" t="inlineStr">
        <is>
          <t>Hospital-based HD</t>
        </is>
      </c>
      <c r="G66" s="2" t="inlineStr">
        <is>
          <t>Irbid</t>
        </is>
      </c>
      <c r="H66" s="2" t="inlineStr">
        <is>
          <t>Irbid</t>
        </is>
      </c>
      <c r="I66" s="2" t="inlineStr">
        <is>
          <t>Irbid</t>
        </is>
      </c>
      <c r="J66" s="2" t="inlineStr"/>
      <c r="K66" s="2" t="inlineStr"/>
      <c r="L66" s="2" t="inlineStr"/>
      <c r="M66" s="2" t="inlineStr"/>
      <c r="N66" s="2" t="inlineStr"/>
      <c r="O66" s="2" t="inlineStr">
        <is>
          <t>University</t>
        </is>
      </c>
      <c r="P66" s="2" t="inlineStr">
        <is>
          <t>University</t>
        </is>
      </c>
      <c r="Q66" s="2" t="inlineStr">
        <is>
          <t>Yes</t>
        </is>
      </c>
      <c r="R66" s="2" t="inlineStr"/>
      <c r="S66" s="2" t="inlineStr"/>
      <c r="T66" s="2" t="inlineStr"/>
      <c r="U66" s="2" t="inlineStr"/>
      <c r="V66" s="2" t="inlineStr"/>
      <c r="W66" s="2" t="inlineStr"/>
      <c r="X66" s="2" t="inlineStr"/>
      <c r="Y66" s="2" t="n"/>
      <c r="Z66" s="2" t="inlineStr"/>
      <c r="AA66" s="2" t="inlineStr"/>
      <c r="AB66" s="2" t="inlineStr"/>
      <c r="AC66" s="2" t="n"/>
      <c r="AD66" s="2" t="n"/>
      <c r="AE66" s="2" t="inlineStr"/>
      <c r="AF66" s="2" t="inlineStr"/>
      <c r="AG66" s="2" t="inlineStr"/>
      <c r="AH66" s="2" t="inlineStr"/>
      <c r="AI66" s="2" t="inlineStr"/>
      <c r="AJ66" s="2" t="inlineStr"/>
      <c r="AK66" s="2" t="inlineStr"/>
      <c r="AL66" s="2" t="inlineStr"/>
      <c r="AM66" s="2" t="inlineStr"/>
      <c r="AN66" s="2" t="inlineStr"/>
      <c r="AO66" s="2" t="inlineStr">
        <is>
          <t>High</t>
        </is>
      </c>
      <c r="AP66" s="2" t="inlineStr"/>
      <c r="AQ66" s="2" t="inlineStr"/>
      <c r="AR66" s="2" t="inlineStr"/>
      <c r="AS66" s="2" t="inlineStr">
        <is>
          <t>Verified HD facility</t>
        </is>
      </c>
      <c r="AT66" s="2" t="inlineStr">
        <is>
          <t>Tier_1</t>
        </is>
      </c>
      <c r="AU66" s="2" t="inlineStr">
        <is>
          <t>OBSERVED</t>
        </is>
      </c>
      <c r="AV66" s="2" t="inlineStr">
        <is>
          <t>Very High</t>
        </is>
      </c>
      <c r="AW66" s="2" t="inlineStr">
        <is>
          <t>SRC-WEB-040;SRC-WEB-041</t>
        </is>
      </c>
      <c r="AX66" s="2" t="inlineStr">
        <is>
          <t>https://pmc.ncbi.nlm.nih.gov/articles/PMC11486397/;https://pmc.ncbi.nlm.nih.gov/articles/PMC8709968/</t>
        </is>
      </c>
      <c r="AY66" s="2" t="inlineStr">
        <is>
          <t>HD patients were recruited from the hospital dialysis clinic/unit.</t>
        </is>
      </c>
      <c r="AZ66" s="2" t="inlineStr">
        <is>
          <t>SOURCE-VERIFIED HD SERVICE; CURRENT STATUS SHOULD BE RECHECKED WHERE SOURCE IS HISTORICAL</t>
        </is>
      </c>
      <c r="BA66" s="2" t="inlineStr">
        <is>
          <t>2026-08-10</t>
        </is>
      </c>
      <c r="BB66" s="2" t="inlineStr">
        <is>
          <t>ANALYST_SCENARIO</t>
        </is>
      </c>
      <c r="BC66" s="2" t="inlineStr">
        <is>
          <t>Analyst prioritization based on verified HD service; not observed market share.</t>
        </is>
      </c>
    </row>
    <row r="67">
      <c r="A67" s="2" t="inlineStr">
        <is>
          <t>JOR-F002</t>
        </is>
      </c>
      <c r="B67" s="2" t="inlineStr">
        <is>
          <t>Jordan</t>
        </is>
      </c>
      <c r="C67" s="2" t="inlineStr">
        <is>
          <t>JOR</t>
        </is>
      </c>
      <c r="D67" s="2" t="inlineStr">
        <is>
          <t>Jordan University Hospital</t>
        </is>
      </c>
      <c r="E67" s="2" t="inlineStr">
        <is>
          <t>Hospital_Dialysis_Unit</t>
        </is>
      </c>
      <c r="F67" s="2" t="inlineStr">
        <is>
          <t>Hospital-based HD</t>
        </is>
      </c>
      <c r="G67" s="2" t="inlineStr">
        <is>
          <t>Amman</t>
        </is>
      </c>
      <c r="H67" s="2" t="inlineStr">
        <is>
          <t>Amman</t>
        </is>
      </c>
      <c r="I67" s="2" t="inlineStr">
        <is>
          <t>Amman</t>
        </is>
      </c>
      <c r="J67" s="2" t="inlineStr"/>
      <c r="K67" s="2" t="inlineStr"/>
      <c r="L67" s="2" t="inlineStr"/>
      <c r="M67" s="2" t="inlineStr"/>
      <c r="N67" s="2" t="inlineStr"/>
      <c r="O67" s="2" t="inlineStr">
        <is>
          <t>University</t>
        </is>
      </c>
      <c r="P67" s="2" t="inlineStr">
        <is>
          <t>University</t>
        </is>
      </c>
      <c r="Q67" s="2" t="inlineStr">
        <is>
          <t>Yes</t>
        </is>
      </c>
      <c r="R67" s="2" t="inlineStr"/>
      <c r="S67" s="2" t="inlineStr"/>
      <c r="T67" s="2" t="inlineStr"/>
      <c r="U67" s="2" t="inlineStr"/>
      <c r="V67" s="2" t="inlineStr"/>
      <c r="W67" s="2" t="inlineStr"/>
      <c r="X67" s="2" t="inlineStr"/>
      <c r="Y67" s="2" t="n"/>
      <c r="Z67" s="2" t="inlineStr"/>
      <c r="AA67" s="2" t="inlineStr"/>
      <c r="AB67" s="2" t="inlineStr"/>
      <c r="AC67" s="2" t="n"/>
      <c r="AD67" s="2" t="n"/>
      <c r="AE67" s="2" t="inlineStr"/>
      <c r="AF67" s="2" t="inlineStr"/>
      <c r="AG67" s="2" t="inlineStr"/>
      <c r="AH67" s="2" t="inlineStr"/>
      <c r="AI67" s="2" t="inlineStr"/>
      <c r="AJ67" s="2" t="inlineStr"/>
      <c r="AK67" s="2" t="inlineStr"/>
      <c r="AL67" s="2" t="inlineStr"/>
      <c r="AM67" s="2" t="inlineStr"/>
      <c r="AN67" s="2" t="inlineStr"/>
      <c r="AO67" s="2" t="inlineStr">
        <is>
          <t>High</t>
        </is>
      </c>
      <c r="AP67" s="2" t="inlineStr"/>
      <c r="AQ67" s="2" t="inlineStr"/>
      <c r="AR67" s="2" t="inlineStr"/>
      <c r="AS67" s="2" t="inlineStr">
        <is>
          <t>Verified HD facility</t>
        </is>
      </c>
      <c r="AT67" s="2" t="inlineStr">
        <is>
          <t>Tier_1</t>
        </is>
      </c>
      <c r="AU67" s="2" t="inlineStr">
        <is>
          <t>OBSERVED</t>
        </is>
      </c>
      <c r="AV67" s="2" t="inlineStr">
        <is>
          <t>Very High</t>
        </is>
      </c>
      <c r="AW67" s="2" t="inlineStr">
        <is>
          <t>SRC-WEB-040;SRC-WEB-041;SRC-WEB-042;SRC-WEB-043</t>
        </is>
      </c>
      <c r="AX67" s="2" t="inlineStr">
        <is>
          <t>https://pmc.ncbi.nlm.nih.gov/articles/PMC11486397/;https://pmc.ncbi.nlm.nih.gov/articles/PMC8709968/;https://pmc.ncbi.nlm.nih.gov/articles/PMC7175504/;https://pmc.ncbi.nlm.nih.gov/articles/PMC11700451/</t>
        </is>
      </c>
      <c r="AY67" s="2" t="inlineStr">
        <is>
          <t>Multiple studies confirm HD unit/service.</t>
        </is>
      </c>
      <c r="AZ67" s="2" t="inlineStr">
        <is>
          <t>SOURCE-VERIFIED HD SERVICE; CURRENT STATUS SHOULD BE RECHECKED WHERE SOURCE IS HISTORICAL</t>
        </is>
      </c>
      <c r="BA67" s="2" t="inlineStr">
        <is>
          <t>2026-08-10</t>
        </is>
      </c>
      <c r="BB67" s="2" t="inlineStr">
        <is>
          <t>ANALYST_SCENARIO</t>
        </is>
      </c>
      <c r="BC67" s="2" t="inlineStr">
        <is>
          <t>Analyst prioritization based on verified HD service; not observed market share.</t>
        </is>
      </c>
    </row>
    <row r="68">
      <c r="A68" s="2" t="inlineStr">
        <is>
          <t>JOR-F003</t>
        </is>
      </c>
      <c r="B68" s="2" t="inlineStr">
        <is>
          <t>Jordan</t>
        </is>
      </c>
      <c r="C68" s="2" t="inlineStr">
        <is>
          <t>JOR</t>
        </is>
      </c>
      <c r="D68" s="2" t="inlineStr">
        <is>
          <t>Princess Basma Hospital</t>
        </is>
      </c>
      <c r="E68" s="2" t="inlineStr">
        <is>
          <t>Hospital_Dialysis_Unit</t>
        </is>
      </c>
      <c r="F68" s="2" t="inlineStr">
        <is>
          <t>Hospital-based HD</t>
        </is>
      </c>
      <c r="G68" s="2" t="inlineStr">
        <is>
          <t>Irbid</t>
        </is>
      </c>
      <c r="H68" s="2" t="inlineStr">
        <is>
          <t>Irbid</t>
        </is>
      </c>
      <c r="I68" s="2" t="inlineStr">
        <is>
          <t>Irbid</t>
        </is>
      </c>
      <c r="J68" s="2" t="inlineStr"/>
      <c r="K68" s="2" t="inlineStr"/>
      <c r="L68" s="2" t="inlineStr"/>
      <c r="M68" s="2" t="inlineStr"/>
      <c r="N68" s="2" t="inlineStr"/>
      <c r="O68" s="2" t="inlineStr">
        <is>
          <t>Government</t>
        </is>
      </c>
      <c r="P68" s="2" t="inlineStr">
        <is>
          <t>Government</t>
        </is>
      </c>
      <c r="Q68" s="2" t="inlineStr">
        <is>
          <t>Yes</t>
        </is>
      </c>
      <c r="R68" s="2" t="inlineStr"/>
      <c r="S68" s="2" t="inlineStr"/>
      <c r="T68" s="2" t="inlineStr"/>
      <c r="U68" s="2" t="inlineStr"/>
      <c r="V68" s="2" t="inlineStr"/>
      <c r="W68" s="2" t="inlineStr"/>
      <c r="X68" s="2" t="inlineStr"/>
      <c r="Y68" s="2" t="n"/>
      <c r="Z68" s="2" t="inlineStr"/>
      <c r="AA68" s="2" t="inlineStr"/>
      <c r="AB68" s="2" t="inlineStr"/>
      <c r="AC68" s="2" t="n"/>
      <c r="AD68" s="2" t="n"/>
      <c r="AE68" s="2" t="inlineStr"/>
      <c r="AF68" s="2" t="inlineStr"/>
      <c r="AG68" s="2" t="inlineStr"/>
      <c r="AH68" s="2" t="inlineStr"/>
      <c r="AI68" s="2" t="inlineStr"/>
      <c r="AJ68" s="2" t="inlineStr"/>
      <c r="AK68" s="2" t="inlineStr"/>
      <c r="AL68" s="2" t="inlineStr"/>
      <c r="AM68" s="2" t="inlineStr"/>
      <c r="AN68" s="2" t="inlineStr"/>
      <c r="AO68" s="2" t="inlineStr">
        <is>
          <t>High</t>
        </is>
      </c>
      <c r="AP68" s="2" t="inlineStr"/>
      <c r="AQ68" s="2" t="inlineStr"/>
      <c r="AR68" s="2" t="inlineStr"/>
      <c r="AS68" s="2" t="inlineStr">
        <is>
          <t>Verified HD facility</t>
        </is>
      </c>
      <c r="AT68" s="2" t="inlineStr">
        <is>
          <t>Tier_2</t>
        </is>
      </c>
      <c r="AU68" s="2" t="inlineStr">
        <is>
          <t>OBSERVED</t>
        </is>
      </c>
      <c r="AV68" s="2" t="inlineStr">
        <is>
          <t>Very High</t>
        </is>
      </c>
      <c r="AW68" s="2" t="inlineStr">
        <is>
          <t>SRC-WEB-040;SRC-WEB-041</t>
        </is>
      </c>
      <c r="AX68" s="2" t="inlineStr">
        <is>
          <t>https://pmc.ncbi.nlm.nih.gov/articles/PMC11486397/;https://pmc.ncbi.nlm.nih.gov/articles/PMC8709968/</t>
        </is>
      </c>
      <c r="AY68" s="2" t="inlineStr">
        <is>
          <t>Nationwide and multicenter HD studies include Princess Basma.</t>
        </is>
      </c>
      <c r="AZ68" s="2" t="inlineStr">
        <is>
          <t>SOURCE-VERIFIED HD SERVICE; CURRENT STATUS SHOULD BE RECHECKED WHERE SOURCE IS HISTORICAL</t>
        </is>
      </c>
      <c r="BA68" s="2" t="inlineStr">
        <is>
          <t>2026-08-10</t>
        </is>
      </c>
      <c r="BB68" s="2" t="inlineStr">
        <is>
          <t>ANALYST_SCENARIO</t>
        </is>
      </c>
      <c r="BC68" s="2" t="inlineStr">
        <is>
          <t>Analyst prioritization based on verified HD service; not observed market share.</t>
        </is>
      </c>
    </row>
    <row r="69">
      <c r="A69" s="2" t="inlineStr">
        <is>
          <t>JOR-F004</t>
        </is>
      </c>
      <c r="B69" s="2" t="inlineStr">
        <is>
          <t>Jordan</t>
        </is>
      </c>
      <c r="C69" s="2" t="inlineStr">
        <is>
          <t>JOR</t>
        </is>
      </c>
      <c r="D69" s="2" t="inlineStr">
        <is>
          <t>Al-Ramtha Governmental Hospital</t>
        </is>
      </c>
      <c r="E69" s="2" t="inlineStr">
        <is>
          <t>Hospital_Dialysis_Unit</t>
        </is>
      </c>
      <c r="F69" s="2" t="inlineStr">
        <is>
          <t>Hospital-based HD</t>
        </is>
      </c>
      <c r="G69" s="2" t="inlineStr">
        <is>
          <t>Ar-Ramtha</t>
        </is>
      </c>
      <c r="H69" s="2" t="inlineStr">
        <is>
          <t>Irbid</t>
        </is>
      </c>
      <c r="I69" s="2" t="inlineStr">
        <is>
          <t>Irbid</t>
        </is>
      </c>
      <c r="J69" s="2" t="inlineStr"/>
      <c r="K69" s="2" t="inlineStr"/>
      <c r="L69" s="2" t="inlineStr"/>
      <c r="M69" s="2" t="inlineStr"/>
      <c r="N69" s="2" t="inlineStr"/>
      <c r="O69" s="2" t="inlineStr">
        <is>
          <t>Government</t>
        </is>
      </c>
      <c r="P69" s="2" t="inlineStr">
        <is>
          <t>Government</t>
        </is>
      </c>
      <c r="Q69" s="2" t="inlineStr">
        <is>
          <t>Yes</t>
        </is>
      </c>
      <c r="R69" s="2" t="inlineStr"/>
      <c r="S69" s="2" t="inlineStr"/>
      <c r="T69" s="2" t="inlineStr"/>
      <c r="U69" s="2" t="inlineStr"/>
      <c r="V69" s="2" t="inlineStr"/>
      <c r="W69" s="2" t="inlineStr"/>
      <c r="X69" s="2" t="inlineStr"/>
      <c r="Y69" s="2" t="n"/>
      <c r="Z69" s="2" t="inlineStr"/>
      <c r="AA69" s="2" t="inlineStr"/>
      <c r="AB69" s="2" t="inlineStr"/>
      <c r="AC69" s="2" t="n"/>
      <c r="AD69" s="2" t="n"/>
      <c r="AE69" s="2" t="inlineStr"/>
      <c r="AF69" s="2" t="inlineStr"/>
      <c r="AG69" s="2" t="inlineStr"/>
      <c r="AH69" s="2" t="inlineStr"/>
      <c r="AI69" s="2" t="inlineStr"/>
      <c r="AJ69" s="2" t="inlineStr"/>
      <c r="AK69" s="2" t="inlineStr"/>
      <c r="AL69" s="2" t="inlineStr"/>
      <c r="AM69" s="2" t="inlineStr"/>
      <c r="AN69" s="2" t="inlineStr"/>
      <c r="AO69" s="2" t="inlineStr">
        <is>
          <t>High</t>
        </is>
      </c>
      <c r="AP69" s="2" t="inlineStr"/>
      <c r="AQ69" s="2" t="inlineStr"/>
      <c r="AR69" s="2" t="inlineStr"/>
      <c r="AS69" s="2" t="inlineStr">
        <is>
          <t>Verified HD facility</t>
        </is>
      </c>
      <c r="AT69" s="2" t="inlineStr">
        <is>
          <t>Tier_2</t>
        </is>
      </c>
      <c r="AU69" s="2" t="inlineStr">
        <is>
          <t>OBSERVED</t>
        </is>
      </c>
      <c r="AV69" s="2" t="inlineStr">
        <is>
          <t>Very High</t>
        </is>
      </c>
      <c r="AW69" s="2" t="inlineStr">
        <is>
          <t>SRC-WEB-041</t>
        </is>
      </c>
      <c r="AX69" s="2" t="inlineStr">
        <is>
          <t>https://pmc.ncbi.nlm.nih.gov/articles/PMC8709968/</t>
        </is>
      </c>
      <c r="AY69" s="2" t="inlineStr">
        <is>
          <t>HD patients were recruited during scheduled dialysis sessions.</t>
        </is>
      </c>
      <c r="AZ69" s="2" t="inlineStr">
        <is>
          <t>SOURCE-VERIFIED HD SERVICE; CURRENT STATUS SHOULD BE RECHECKED WHERE SOURCE IS HISTORICAL</t>
        </is>
      </c>
      <c r="BA69" s="2" t="inlineStr">
        <is>
          <t>2026-08-10</t>
        </is>
      </c>
      <c r="BB69" s="2" t="inlineStr">
        <is>
          <t>ANALYST_SCENARIO</t>
        </is>
      </c>
      <c r="BC69" s="2" t="inlineStr">
        <is>
          <t>Analyst prioritization based on verified HD service; not observed market share.</t>
        </is>
      </c>
    </row>
    <row r="70">
      <c r="A70" s="2" t="inlineStr">
        <is>
          <t>JOR-F005</t>
        </is>
      </c>
      <c r="B70" s="2" t="inlineStr">
        <is>
          <t>Jordan</t>
        </is>
      </c>
      <c r="C70" s="2" t="inlineStr">
        <is>
          <t>JOR</t>
        </is>
      </c>
      <c r="D70" s="2" t="inlineStr">
        <is>
          <t>Al-Hussein / Salt Hospital</t>
        </is>
      </c>
      <c r="E70" s="2" t="inlineStr">
        <is>
          <t>Hospital_Dialysis_Unit</t>
        </is>
      </c>
      <c r="F70" s="2" t="inlineStr">
        <is>
          <t>Hospital-based HD</t>
        </is>
      </c>
      <c r="G70" s="2" t="inlineStr">
        <is>
          <t>As-Salt</t>
        </is>
      </c>
      <c r="H70" s="2" t="inlineStr">
        <is>
          <t>Balqa</t>
        </is>
      </c>
      <c r="I70" s="2" t="inlineStr">
        <is>
          <t>Balqa</t>
        </is>
      </c>
      <c r="J70" s="2" t="inlineStr"/>
      <c r="K70" s="2" t="inlineStr"/>
      <c r="L70" s="2" t="inlineStr"/>
      <c r="M70" s="2" t="inlineStr"/>
      <c r="N70" s="2" t="inlineStr"/>
      <c r="O70" s="2" t="inlineStr">
        <is>
          <t>Government</t>
        </is>
      </c>
      <c r="P70" s="2" t="inlineStr">
        <is>
          <t>Government</t>
        </is>
      </c>
      <c r="Q70" s="2" t="inlineStr">
        <is>
          <t>Yes</t>
        </is>
      </c>
      <c r="R70" s="2" t="inlineStr"/>
      <c r="S70" s="2" t="inlineStr"/>
      <c r="T70" s="2" t="inlineStr"/>
      <c r="U70" s="2" t="inlineStr"/>
      <c r="V70" s="2" t="inlineStr"/>
      <c r="W70" s="2" t="inlineStr"/>
      <c r="X70" s="2" t="inlineStr"/>
      <c r="Y70" s="2" t="n"/>
      <c r="Z70" s="2" t="inlineStr"/>
      <c r="AA70" s="2" t="inlineStr"/>
      <c r="AB70" s="2" t="inlineStr"/>
      <c r="AC70" s="2" t="n"/>
      <c r="AD70" s="2" t="n"/>
      <c r="AE70" s="2" t="inlineStr"/>
      <c r="AF70" s="2" t="inlineStr"/>
      <c r="AG70" s="2" t="inlineStr"/>
      <c r="AH70" s="2" t="inlineStr"/>
      <c r="AI70" s="2" t="inlineStr"/>
      <c r="AJ70" s="2" t="inlineStr"/>
      <c r="AK70" s="2" t="inlineStr"/>
      <c r="AL70" s="2" t="inlineStr"/>
      <c r="AM70" s="2" t="inlineStr"/>
      <c r="AN70" s="2" t="inlineStr"/>
      <c r="AO70" s="2" t="inlineStr">
        <is>
          <t>High</t>
        </is>
      </c>
      <c r="AP70" s="2" t="inlineStr"/>
      <c r="AQ70" s="2" t="inlineStr"/>
      <c r="AR70" s="2" t="inlineStr"/>
      <c r="AS70" s="2" t="inlineStr">
        <is>
          <t>Verified HD facility</t>
        </is>
      </c>
      <c r="AT70" s="2" t="inlineStr">
        <is>
          <t>Tier_2</t>
        </is>
      </c>
      <c r="AU70" s="2" t="inlineStr">
        <is>
          <t>OBSERVED</t>
        </is>
      </c>
      <c r="AV70" s="2" t="inlineStr">
        <is>
          <t>Very High</t>
        </is>
      </c>
      <c r="AW70" s="2" t="inlineStr">
        <is>
          <t>SRC-WEB-040</t>
        </is>
      </c>
      <c r="AX70" s="2" t="inlineStr">
        <is>
          <t>https://pmc.ncbi.nlm.nih.gov/articles/PMC11486397/</t>
        </is>
      </c>
      <c r="AY70" s="2" t="inlineStr">
        <is>
          <t>Nationwide study explicitly identifies hospital as having a dialysis unit.</t>
        </is>
      </c>
      <c r="AZ70" s="2" t="inlineStr">
        <is>
          <t>SOURCE-VERIFIED HD SERVICE; CURRENT STATUS SHOULD BE RECHECKED WHERE SOURCE IS HISTORICAL</t>
        </is>
      </c>
      <c r="BA70" s="2" t="inlineStr">
        <is>
          <t>2026-08-10</t>
        </is>
      </c>
      <c r="BB70" s="2" t="inlineStr">
        <is>
          <t>ANALYST_SCENARIO</t>
        </is>
      </c>
      <c r="BC70" s="2" t="inlineStr">
        <is>
          <t>Analyst prioritization based on verified HD service; not observed market share.</t>
        </is>
      </c>
    </row>
    <row r="71">
      <c r="A71" s="2" t="inlineStr">
        <is>
          <t>JOR-F006</t>
        </is>
      </c>
      <c r="B71" s="2" t="inlineStr">
        <is>
          <t>Jordan</t>
        </is>
      </c>
      <c r="C71" s="2" t="inlineStr">
        <is>
          <t>JOR</t>
        </is>
      </c>
      <c r="D71" s="2" t="inlineStr">
        <is>
          <t>Al-Bashir Hospitals</t>
        </is>
      </c>
      <c r="E71" s="2" t="inlineStr">
        <is>
          <t>Hospital_Dialysis_Unit</t>
        </is>
      </c>
      <c r="F71" s="2" t="inlineStr">
        <is>
          <t>Hospital-based HD</t>
        </is>
      </c>
      <c r="G71" s="2" t="inlineStr">
        <is>
          <t>Amman</t>
        </is>
      </c>
      <c r="H71" s="2" t="inlineStr">
        <is>
          <t>Amman</t>
        </is>
      </c>
      <c r="I71" s="2" t="inlineStr">
        <is>
          <t>Amman</t>
        </is>
      </c>
      <c r="J71" s="2" t="inlineStr"/>
      <c r="K71" s="2" t="inlineStr"/>
      <c r="L71" s="2" t="inlineStr"/>
      <c r="M71" s="2" t="inlineStr"/>
      <c r="N71" s="2" t="inlineStr"/>
      <c r="O71" s="2" t="inlineStr">
        <is>
          <t>Government</t>
        </is>
      </c>
      <c r="P71" s="2" t="inlineStr">
        <is>
          <t>Government</t>
        </is>
      </c>
      <c r="Q71" s="2" t="inlineStr">
        <is>
          <t>Yes</t>
        </is>
      </c>
      <c r="R71" s="2" t="inlineStr"/>
      <c r="S71" s="2" t="inlineStr"/>
      <c r="T71" s="2" t="inlineStr"/>
      <c r="U71" s="2" t="inlineStr"/>
      <c r="V71" s="2" t="inlineStr"/>
      <c r="W71" s="2" t="inlineStr"/>
      <c r="X71" s="2" t="inlineStr"/>
      <c r="Y71" s="2" t="n"/>
      <c r="Z71" s="2" t="inlineStr"/>
      <c r="AA71" s="2" t="inlineStr"/>
      <c r="AB71" s="2" t="inlineStr"/>
      <c r="AC71" s="2" t="n"/>
      <c r="AD71" s="2" t="n"/>
      <c r="AE71" s="2" t="inlineStr"/>
      <c r="AF71" s="2" t="inlineStr"/>
      <c r="AG71" s="2" t="inlineStr"/>
      <c r="AH71" s="2" t="inlineStr"/>
      <c r="AI71" s="2" t="inlineStr"/>
      <c r="AJ71" s="2" t="inlineStr"/>
      <c r="AK71" s="2" t="inlineStr"/>
      <c r="AL71" s="2" t="inlineStr"/>
      <c r="AM71" s="2" t="inlineStr"/>
      <c r="AN71" s="2" t="inlineStr"/>
      <c r="AO71" s="2" t="inlineStr">
        <is>
          <t>High</t>
        </is>
      </c>
      <c r="AP71" s="2" t="inlineStr"/>
      <c r="AQ71" s="2" t="inlineStr"/>
      <c r="AR71" s="2" t="inlineStr"/>
      <c r="AS71" s="2" t="inlineStr">
        <is>
          <t>Verified HD facility</t>
        </is>
      </c>
      <c r="AT71" s="2" t="inlineStr">
        <is>
          <t>Tier_1</t>
        </is>
      </c>
      <c r="AU71" s="2" t="inlineStr">
        <is>
          <t>OBSERVED</t>
        </is>
      </c>
      <c r="AV71" s="2" t="inlineStr">
        <is>
          <t>Very High</t>
        </is>
      </c>
      <c r="AW71" s="2" t="inlineStr">
        <is>
          <t>SRC-WEB-040;SRC-WEB-042</t>
        </is>
      </c>
      <c r="AX71" s="2" t="inlineStr">
        <is>
          <t>https://pmc.ncbi.nlm.nih.gov/articles/PMC11486397/;https://pmc.ncbi.nlm.nih.gov/articles/PMC7175504/</t>
        </is>
      </c>
      <c r="AY71" s="2" t="inlineStr">
        <is>
          <t>Nationwide and multicenter HD studies confirm HD units.</t>
        </is>
      </c>
      <c r="AZ71" s="2" t="inlineStr">
        <is>
          <t>SOURCE-VERIFIED HD SERVICE; CURRENT STATUS SHOULD BE RECHECKED WHERE SOURCE IS HISTORICAL</t>
        </is>
      </c>
      <c r="BA71" s="2" t="inlineStr">
        <is>
          <t>2026-08-10</t>
        </is>
      </c>
      <c r="BB71" s="2" t="inlineStr">
        <is>
          <t>ANALYST_SCENARIO</t>
        </is>
      </c>
      <c r="BC71" s="2" t="inlineStr">
        <is>
          <t>Analyst prioritization based on verified HD service; not observed market share.</t>
        </is>
      </c>
    </row>
    <row r="72">
      <c r="A72" s="2" t="inlineStr">
        <is>
          <t>JOR-F007</t>
        </is>
      </c>
      <c r="B72" s="2" t="inlineStr">
        <is>
          <t>Jordan</t>
        </is>
      </c>
      <c r="C72" s="2" t="inlineStr">
        <is>
          <t>JOR</t>
        </is>
      </c>
      <c r="D72" s="2" t="inlineStr">
        <is>
          <t>Al-Nadeem Hospital</t>
        </is>
      </c>
      <c r="E72" s="2" t="inlineStr">
        <is>
          <t>Hospital_Dialysis_Unit</t>
        </is>
      </c>
      <c r="F72" s="2" t="inlineStr">
        <is>
          <t>Hospital-based HD</t>
        </is>
      </c>
      <c r="G72" s="2" t="inlineStr">
        <is>
          <t>Madaba</t>
        </is>
      </c>
      <c r="H72" s="2" t="inlineStr">
        <is>
          <t>Madaba</t>
        </is>
      </c>
      <c r="I72" s="2" t="inlineStr">
        <is>
          <t>Madaba</t>
        </is>
      </c>
      <c r="J72" s="2" t="inlineStr"/>
      <c r="K72" s="2" t="inlineStr"/>
      <c r="L72" s="2" t="inlineStr"/>
      <c r="M72" s="2" t="inlineStr"/>
      <c r="N72" s="2" t="inlineStr"/>
      <c r="O72" s="2" t="inlineStr">
        <is>
          <t>Government</t>
        </is>
      </c>
      <c r="P72" s="2" t="inlineStr">
        <is>
          <t>Government</t>
        </is>
      </c>
      <c r="Q72" s="2" t="inlineStr">
        <is>
          <t>Yes</t>
        </is>
      </c>
      <c r="R72" s="2" t="inlineStr"/>
      <c r="S72" s="2" t="inlineStr"/>
      <c r="T72" s="2" t="inlineStr"/>
      <c r="U72" s="2" t="inlineStr"/>
      <c r="V72" s="2" t="inlineStr"/>
      <c r="W72" s="2" t="inlineStr"/>
      <c r="X72" s="2" t="inlineStr"/>
      <c r="Y72" s="2" t="n"/>
      <c r="Z72" s="2" t="inlineStr"/>
      <c r="AA72" s="2" t="inlineStr"/>
      <c r="AB72" s="2" t="inlineStr"/>
      <c r="AC72" s="2" t="n"/>
      <c r="AD72" s="2" t="n"/>
      <c r="AE72" s="2" t="inlineStr"/>
      <c r="AF72" s="2" t="inlineStr"/>
      <c r="AG72" s="2" t="inlineStr"/>
      <c r="AH72" s="2" t="inlineStr"/>
      <c r="AI72" s="2" t="inlineStr"/>
      <c r="AJ72" s="2" t="inlineStr"/>
      <c r="AK72" s="2" t="inlineStr"/>
      <c r="AL72" s="2" t="inlineStr"/>
      <c r="AM72" s="2" t="inlineStr"/>
      <c r="AN72" s="2" t="inlineStr"/>
      <c r="AO72" s="2" t="inlineStr">
        <is>
          <t>High</t>
        </is>
      </c>
      <c r="AP72" s="2" t="inlineStr"/>
      <c r="AQ72" s="2" t="inlineStr"/>
      <c r="AR72" s="2" t="inlineStr"/>
      <c r="AS72" s="2" t="inlineStr">
        <is>
          <t>Verified HD facility</t>
        </is>
      </c>
      <c r="AT72" s="2" t="inlineStr">
        <is>
          <t>Tier_2</t>
        </is>
      </c>
      <c r="AU72" s="2" t="inlineStr">
        <is>
          <t>OBSERVED</t>
        </is>
      </c>
      <c r="AV72" s="2" t="inlineStr">
        <is>
          <t>Very High</t>
        </is>
      </c>
      <c r="AW72" s="2" t="inlineStr">
        <is>
          <t>SRC-WEB-040</t>
        </is>
      </c>
      <c r="AX72" s="2" t="inlineStr">
        <is>
          <t>https://pmc.ncbi.nlm.nih.gov/articles/PMC11486397/</t>
        </is>
      </c>
      <c r="AY72" s="2" t="inlineStr">
        <is>
          <t>Nationwide study explicitly identifies hospital as having a dialysis unit.</t>
        </is>
      </c>
      <c r="AZ72" s="2" t="inlineStr">
        <is>
          <t>SOURCE-VERIFIED HD SERVICE; CURRENT STATUS SHOULD BE RECHECKED WHERE SOURCE IS HISTORICAL</t>
        </is>
      </c>
      <c r="BA72" s="2" t="inlineStr">
        <is>
          <t>2026-08-10</t>
        </is>
      </c>
      <c r="BB72" s="2" t="inlineStr">
        <is>
          <t>ANALYST_SCENARIO</t>
        </is>
      </c>
      <c r="BC72" s="2" t="inlineStr">
        <is>
          <t>Analyst prioritization based on verified HD service; not observed market share.</t>
        </is>
      </c>
    </row>
    <row r="73">
      <c r="A73" s="2" t="inlineStr">
        <is>
          <t>JOR-F008</t>
        </is>
      </c>
      <c r="B73" s="2" t="inlineStr">
        <is>
          <t>Jordan</t>
        </is>
      </c>
      <c r="C73" s="2" t="inlineStr">
        <is>
          <t>JOR</t>
        </is>
      </c>
      <c r="D73" s="2" t="inlineStr">
        <is>
          <t>Al-Zarqa Hospital</t>
        </is>
      </c>
      <c r="E73" s="2" t="inlineStr">
        <is>
          <t>Hospital_Dialysis_Unit</t>
        </is>
      </c>
      <c r="F73" s="2" t="inlineStr">
        <is>
          <t>Hospital-based HD</t>
        </is>
      </c>
      <c r="G73" s="2" t="inlineStr">
        <is>
          <t>Zarqa</t>
        </is>
      </c>
      <c r="H73" s="2" t="inlineStr">
        <is>
          <t>Zarqa</t>
        </is>
      </c>
      <c r="I73" s="2" t="inlineStr">
        <is>
          <t>Zarqa</t>
        </is>
      </c>
      <c r="J73" s="2" t="inlineStr"/>
      <c r="K73" s="2" t="inlineStr"/>
      <c r="L73" s="2" t="inlineStr"/>
      <c r="M73" s="2" t="inlineStr"/>
      <c r="N73" s="2" t="inlineStr"/>
      <c r="O73" s="2" t="inlineStr">
        <is>
          <t>Government</t>
        </is>
      </c>
      <c r="P73" s="2" t="inlineStr">
        <is>
          <t>Government</t>
        </is>
      </c>
      <c r="Q73" s="2" t="inlineStr">
        <is>
          <t>Yes</t>
        </is>
      </c>
      <c r="R73" s="2" t="inlineStr"/>
      <c r="S73" s="2" t="inlineStr"/>
      <c r="T73" s="2" t="inlineStr"/>
      <c r="U73" s="2" t="inlineStr"/>
      <c r="V73" s="2" t="inlineStr"/>
      <c r="W73" s="2" t="inlineStr"/>
      <c r="X73" s="2" t="inlineStr"/>
      <c r="Y73" s="2" t="n"/>
      <c r="Z73" s="2" t="inlineStr"/>
      <c r="AA73" s="2" t="inlineStr"/>
      <c r="AB73" s="2" t="inlineStr"/>
      <c r="AC73" s="2" t="n"/>
      <c r="AD73" s="2" t="n"/>
      <c r="AE73" s="2" t="inlineStr"/>
      <c r="AF73" s="2" t="inlineStr"/>
      <c r="AG73" s="2" t="inlineStr"/>
      <c r="AH73" s="2" t="inlineStr"/>
      <c r="AI73" s="2" t="inlineStr"/>
      <c r="AJ73" s="2" t="inlineStr"/>
      <c r="AK73" s="2" t="inlineStr"/>
      <c r="AL73" s="2" t="inlineStr"/>
      <c r="AM73" s="2" t="inlineStr"/>
      <c r="AN73" s="2" t="inlineStr"/>
      <c r="AO73" s="2" t="inlineStr">
        <is>
          <t>High</t>
        </is>
      </c>
      <c r="AP73" s="2" t="inlineStr"/>
      <c r="AQ73" s="2" t="inlineStr"/>
      <c r="AR73" s="2" t="inlineStr"/>
      <c r="AS73" s="2" t="inlineStr">
        <is>
          <t>Verified HD facility</t>
        </is>
      </c>
      <c r="AT73" s="2" t="inlineStr">
        <is>
          <t>Tier_2</t>
        </is>
      </c>
      <c r="AU73" s="2" t="inlineStr">
        <is>
          <t>OBSERVED</t>
        </is>
      </c>
      <c r="AV73" s="2" t="inlineStr">
        <is>
          <t>Very High</t>
        </is>
      </c>
      <c r="AW73" s="2" t="inlineStr">
        <is>
          <t>SRC-WEB-040</t>
        </is>
      </c>
      <c r="AX73" s="2" t="inlineStr">
        <is>
          <t>https://pmc.ncbi.nlm.nih.gov/articles/PMC11486397/</t>
        </is>
      </c>
      <c r="AY73" s="2" t="inlineStr">
        <is>
          <t>Nationwide study explicitly identifies hospital as having a dialysis unit.</t>
        </is>
      </c>
      <c r="AZ73" s="2" t="inlineStr">
        <is>
          <t>SOURCE-VERIFIED HD SERVICE; CURRENT STATUS SHOULD BE RECHECKED WHERE SOURCE IS HISTORICAL</t>
        </is>
      </c>
      <c r="BA73" s="2" t="inlineStr">
        <is>
          <t>2026-08-10</t>
        </is>
      </c>
      <c r="BB73" s="2" t="inlineStr">
        <is>
          <t>ANALYST_SCENARIO</t>
        </is>
      </c>
      <c r="BC73" s="2" t="inlineStr">
        <is>
          <t>Analyst prioritization based on verified HD service; not observed market share.</t>
        </is>
      </c>
    </row>
    <row r="74">
      <c r="A74" s="2" t="inlineStr">
        <is>
          <t>JOR-F009</t>
        </is>
      </c>
      <c r="B74" s="2" t="inlineStr">
        <is>
          <t>Jordan</t>
        </is>
      </c>
      <c r="C74" s="2" t="inlineStr">
        <is>
          <t>JOR</t>
        </is>
      </c>
      <c r="D74" s="2" t="inlineStr">
        <is>
          <t>Prince Hamza Hospital</t>
        </is>
      </c>
      <c r="E74" s="2" t="inlineStr">
        <is>
          <t>Hospital_Dialysis_Unit</t>
        </is>
      </c>
      <c r="F74" s="2" t="inlineStr">
        <is>
          <t>Hospital-based HD</t>
        </is>
      </c>
      <c r="G74" s="2" t="inlineStr">
        <is>
          <t>Amman</t>
        </is>
      </c>
      <c r="H74" s="2" t="inlineStr">
        <is>
          <t>Amman</t>
        </is>
      </c>
      <c r="I74" s="2" t="inlineStr">
        <is>
          <t>Amman</t>
        </is>
      </c>
      <c r="J74" s="2" t="inlineStr"/>
      <c r="K74" s="2" t="inlineStr"/>
      <c r="L74" s="2" t="inlineStr"/>
      <c r="M74" s="2" t="inlineStr"/>
      <c r="N74" s="2" t="inlineStr"/>
      <c r="O74" s="2" t="inlineStr">
        <is>
          <t>Government</t>
        </is>
      </c>
      <c r="P74" s="2" t="inlineStr">
        <is>
          <t>Government</t>
        </is>
      </c>
      <c r="Q74" s="2" t="inlineStr">
        <is>
          <t>Yes</t>
        </is>
      </c>
      <c r="R74" s="2" t="inlineStr"/>
      <c r="S74" s="2" t="inlineStr"/>
      <c r="T74" s="2" t="inlineStr"/>
      <c r="U74" s="2" t="inlineStr"/>
      <c r="V74" s="2" t="inlineStr"/>
      <c r="W74" s="2" t="inlineStr"/>
      <c r="X74" s="2" t="inlineStr"/>
      <c r="Y74" s="2" t="n"/>
      <c r="Z74" s="2" t="inlineStr"/>
      <c r="AA74" s="2" t="inlineStr"/>
      <c r="AB74" s="2" t="inlineStr"/>
      <c r="AC74" s="2" t="n"/>
      <c r="AD74" s="2" t="n"/>
      <c r="AE74" s="2" t="inlineStr"/>
      <c r="AF74" s="2" t="inlineStr"/>
      <c r="AG74" s="2" t="inlineStr"/>
      <c r="AH74" s="2" t="inlineStr"/>
      <c r="AI74" s="2" t="inlineStr"/>
      <c r="AJ74" s="2" t="inlineStr"/>
      <c r="AK74" s="2" t="inlineStr"/>
      <c r="AL74" s="2" t="inlineStr"/>
      <c r="AM74" s="2" t="inlineStr"/>
      <c r="AN74" s="2" t="inlineStr"/>
      <c r="AO74" s="2" t="inlineStr">
        <is>
          <t>High</t>
        </is>
      </c>
      <c r="AP74" s="2" t="inlineStr"/>
      <c r="AQ74" s="2" t="inlineStr"/>
      <c r="AR74" s="2" t="inlineStr"/>
      <c r="AS74" s="2" t="inlineStr">
        <is>
          <t>Verified HD facility</t>
        </is>
      </c>
      <c r="AT74" s="2" t="inlineStr">
        <is>
          <t>Tier_1</t>
        </is>
      </c>
      <c r="AU74" s="2" t="inlineStr">
        <is>
          <t>OBSERVED</t>
        </is>
      </c>
      <c r="AV74" s="2" t="inlineStr">
        <is>
          <t>Very High</t>
        </is>
      </c>
      <c r="AW74" s="2" t="inlineStr">
        <is>
          <t>SRC-WEB-040;SRC-WEB-043</t>
        </is>
      </c>
      <c r="AX74" s="2" t="inlineStr">
        <is>
          <t>https://pmc.ncbi.nlm.nih.gov/articles/PMC11486397/;https://pmc.ncbi.nlm.nih.gov/articles/PMC11700451/</t>
        </is>
      </c>
      <c r="AY74" s="2" t="inlineStr">
        <is>
          <t>2023 study confirms a dialysis unit treating chronic HD patients.</t>
        </is>
      </c>
      <c r="AZ74" s="2" t="inlineStr">
        <is>
          <t>SOURCE-VERIFIED HD SERVICE; CURRENT STATUS SHOULD BE RECHECKED WHERE SOURCE IS HISTORICAL</t>
        </is>
      </c>
      <c r="BA74" s="2" t="inlineStr">
        <is>
          <t>2026-08-10</t>
        </is>
      </c>
      <c r="BB74" s="2" t="inlineStr">
        <is>
          <t>ANALYST_SCENARIO</t>
        </is>
      </c>
      <c r="BC74" s="2" t="inlineStr">
        <is>
          <t>Analyst prioritization based on verified HD service; not observed market share.</t>
        </is>
      </c>
    </row>
    <row r="75">
      <c r="A75" s="2" t="inlineStr">
        <is>
          <t>JOR-F010</t>
        </is>
      </c>
      <c r="B75" s="2" t="inlineStr">
        <is>
          <t>Jordan</t>
        </is>
      </c>
      <c r="C75" s="2" t="inlineStr">
        <is>
          <t>JOR</t>
        </is>
      </c>
      <c r="D75" s="2" t="inlineStr">
        <is>
          <t>King Hussein Medical Center</t>
        </is>
      </c>
      <c r="E75" s="2" t="inlineStr">
        <is>
          <t>Hospital_Dialysis_Unit</t>
        </is>
      </c>
      <c r="F75" s="2" t="inlineStr">
        <is>
          <t>Hospital-based HD</t>
        </is>
      </c>
      <c r="G75" s="2" t="inlineStr">
        <is>
          <t>Amman</t>
        </is>
      </c>
      <c r="H75" s="2" t="inlineStr">
        <is>
          <t>Amman</t>
        </is>
      </c>
      <c r="I75" s="2" t="inlineStr">
        <is>
          <t>Amman</t>
        </is>
      </c>
      <c r="J75" s="2" t="inlineStr"/>
      <c r="K75" s="2" t="inlineStr"/>
      <c r="L75" s="2" t="inlineStr"/>
      <c r="M75" s="2" t="inlineStr"/>
      <c r="N75" s="2" t="inlineStr"/>
      <c r="O75" s="2" t="inlineStr">
        <is>
          <t>Military</t>
        </is>
      </c>
      <c r="P75" s="2" t="inlineStr">
        <is>
          <t>Military</t>
        </is>
      </c>
      <c r="Q75" s="2" t="inlineStr">
        <is>
          <t>Yes</t>
        </is>
      </c>
      <c r="R75" s="2" t="inlineStr"/>
      <c r="S75" s="2" t="inlineStr"/>
      <c r="T75" s="2" t="inlineStr"/>
      <c r="U75" s="2" t="inlineStr"/>
      <c r="V75" s="2" t="inlineStr"/>
      <c r="W75" s="2" t="inlineStr"/>
      <c r="X75" s="2" t="inlineStr"/>
      <c r="Y75" s="2" t="n"/>
      <c r="Z75" s="2" t="inlineStr"/>
      <c r="AA75" s="2" t="inlineStr"/>
      <c r="AB75" s="2" t="inlineStr"/>
      <c r="AC75" s="2" t="n"/>
      <c r="AD75" s="2" t="n"/>
      <c r="AE75" s="2" t="inlineStr"/>
      <c r="AF75" s="2" t="inlineStr"/>
      <c r="AG75" s="2" t="inlineStr"/>
      <c r="AH75" s="2" t="inlineStr"/>
      <c r="AI75" s="2" t="inlineStr"/>
      <c r="AJ75" s="2" t="inlineStr"/>
      <c r="AK75" s="2" t="inlineStr"/>
      <c r="AL75" s="2" t="inlineStr"/>
      <c r="AM75" s="2" t="inlineStr"/>
      <c r="AN75" s="2" t="inlineStr"/>
      <c r="AO75" s="2" t="inlineStr">
        <is>
          <t>High</t>
        </is>
      </c>
      <c r="AP75" s="2" t="inlineStr"/>
      <c r="AQ75" s="2" t="inlineStr"/>
      <c r="AR75" s="2" t="inlineStr"/>
      <c r="AS75" s="2" t="inlineStr">
        <is>
          <t>Verified HD facility</t>
        </is>
      </c>
      <c r="AT75" s="2" t="inlineStr">
        <is>
          <t>Tier_1</t>
        </is>
      </c>
      <c r="AU75" s="2" t="inlineStr">
        <is>
          <t>OBSERVED</t>
        </is>
      </c>
      <c r="AV75" s="2" t="inlineStr">
        <is>
          <t>Very High</t>
        </is>
      </c>
      <c r="AW75" s="2" t="inlineStr">
        <is>
          <t>SRC-WEB-042;SRC-WEB-006</t>
        </is>
      </c>
      <c r="AX75" s="2" t="inlineStr">
        <is>
          <t>https://pmc.ncbi.nlm.nih.gov/articles/PMC7175504/;https://www.moh.gov.sa/en/ministry/mediacenter/news/pages/news-2018-01-07-0004.aspx</t>
        </is>
      </c>
      <c r="AY75" s="2" t="inlineStr">
        <is>
          <t>Peer-reviewed Jordan studies identify dialysis services; pediatric dialysis unit evidence also exists.</t>
        </is>
      </c>
      <c r="AZ75" s="2" t="inlineStr">
        <is>
          <t>SOURCE-VERIFIED HD SERVICE; CURRENT STATUS SHOULD BE RECHECKED WHERE SOURCE IS HISTORICAL</t>
        </is>
      </c>
      <c r="BA75" s="2" t="inlineStr">
        <is>
          <t>2026-08-10</t>
        </is>
      </c>
      <c r="BB75" s="2" t="inlineStr">
        <is>
          <t>ANALYST_SCENARIO</t>
        </is>
      </c>
      <c r="BC75" s="2" t="inlineStr">
        <is>
          <t>Analyst prioritization based on verified HD service; not observed market share.</t>
        </is>
      </c>
    </row>
    <row r="76">
      <c r="A76" s="2" t="inlineStr">
        <is>
          <t>LBN-F001</t>
        </is>
      </c>
      <c r="B76" s="2" t="inlineStr">
        <is>
          <t>Lebanon</t>
        </is>
      </c>
      <c r="C76" s="2" t="inlineStr">
        <is>
          <t>LBN</t>
        </is>
      </c>
      <c r="D76" s="2" t="inlineStr">
        <is>
          <t>Abou Jaoude Hospital</t>
        </is>
      </c>
      <c r="E76" s="2" t="inlineStr">
        <is>
          <t>Hospital_Dialysis_Unit</t>
        </is>
      </c>
      <c r="F76" s="2" t="inlineStr">
        <is>
          <t>Hospital-based HD</t>
        </is>
      </c>
      <c r="G76" s="2" t="inlineStr">
        <is>
          <t>Jal el Dib</t>
        </is>
      </c>
      <c r="H76" s="2" t="inlineStr">
        <is>
          <t>Mount Lebanon</t>
        </is>
      </c>
      <c r="I76" s="2" t="inlineStr">
        <is>
          <t>Mount Lebanon</t>
        </is>
      </c>
      <c r="J76" s="2" t="inlineStr"/>
      <c r="K76" s="2" t="inlineStr"/>
      <c r="L76" s="2" t="inlineStr"/>
      <c r="M76" s="2" t="inlineStr"/>
      <c r="N76" s="2" t="inlineStr"/>
      <c r="O76" s="2" t="inlineStr">
        <is>
          <t>Unknown</t>
        </is>
      </c>
      <c r="P76" s="2" t="inlineStr">
        <is>
          <t>Unknown</t>
        </is>
      </c>
      <c r="Q76" s="2" t="inlineStr">
        <is>
          <t>Yes</t>
        </is>
      </c>
      <c r="R76" s="2" t="inlineStr"/>
      <c r="S76" s="2" t="inlineStr"/>
      <c r="T76" s="2" t="inlineStr"/>
      <c r="U76" s="2" t="inlineStr"/>
      <c r="V76" s="2" t="inlineStr"/>
      <c r="W76" s="2" t="inlineStr"/>
      <c r="X76" s="2" t="inlineStr"/>
      <c r="Y76" s="2" t="n"/>
      <c r="Z76" s="2" t="inlineStr"/>
      <c r="AA76" s="2" t="inlineStr"/>
      <c r="AB76" s="2" t="inlineStr"/>
      <c r="AC76" s="2" t="n"/>
      <c r="AD76" s="2" t="n"/>
      <c r="AE76" s="2" t="inlineStr"/>
      <c r="AF76" s="2" t="inlineStr"/>
      <c r="AG76" s="2" t="inlineStr"/>
      <c r="AH76" s="2" t="inlineStr"/>
      <c r="AI76" s="2" t="inlineStr"/>
      <c r="AJ76" s="2" t="inlineStr"/>
      <c r="AK76" s="2" t="inlineStr"/>
      <c r="AL76" s="2" t="inlineStr"/>
      <c r="AM76" s="2" t="inlineStr"/>
      <c r="AN76" s="2" t="inlineStr"/>
      <c r="AO76" s="2" t="inlineStr">
        <is>
          <t>High</t>
        </is>
      </c>
      <c r="AP76" s="2" t="inlineStr"/>
      <c r="AQ76" s="2" t="inlineStr"/>
      <c r="AR76" s="2" t="inlineStr"/>
      <c r="AS76" s="2" t="inlineStr">
        <is>
          <t>Verified HD facility</t>
        </is>
      </c>
      <c r="AT76" s="2" t="inlineStr">
        <is>
          <t>Tier_1</t>
        </is>
      </c>
      <c r="AU76" s="2" t="inlineStr">
        <is>
          <t>OBSERVED</t>
        </is>
      </c>
      <c r="AV76" s="2" t="inlineStr">
        <is>
          <t>Very High</t>
        </is>
      </c>
      <c r="AW76" s="2" t="inlineStr">
        <is>
          <t>SRC-WEB-046</t>
        </is>
      </c>
      <c r="AX76" s="2" t="inlineStr">
        <is>
          <t>https://pmc.ncbi.nlm.nih.gov/articles/PMC7912967/</t>
        </is>
      </c>
      <c r="AY76" s="2" t="inlineStr">
        <is>
          <t>Peer-reviewed Lebanese HD cohort/trial identified the hospital as a participating HD site; ownership not inferred.</t>
        </is>
      </c>
      <c r="AZ76" s="2" t="inlineStr">
        <is>
          <t>SOURCE-VERIFIED HD SERVICE; CURRENT STATUS SHOULD BE RECHECKED WHERE SOURCE IS HISTORICAL</t>
        </is>
      </c>
      <c r="BA76" s="2" t="inlineStr">
        <is>
          <t>2026-08-10</t>
        </is>
      </c>
      <c r="BB76" s="2" t="inlineStr">
        <is>
          <t>ANALYST_SCENARIO</t>
        </is>
      </c>
      <c r="BC76" s="2" t="inlineStr">
        <is>
          <t>Analyst prioritization based on verified HD service; not observed market share.</t>
        </is>
      </c>
    </row>
    <row r="77">
      <c r="A77" s="2" t="inlineStr">
        <is>
          <t>LBN-F002</t>
        </is>
      </c>
      <c r="B77" s="2" t="inlineStr">
        <is>
          <t>Lebanon</t>
        </is>
      </c>
      <c r="C77" s="2" t="inlineStr">
        <is>
          <t>LBN</t>
        </is>
      </c>
      <c r="D77" s="2" t="inlineStr">
        <is>
          <t>Labib Hospital</t>
        </is>
      </c>
      <c r="E77" s="2" t="inlineStr">
        <is>
          <t>Hospital_Dialysis_Unit</t>
        </is>
      </c>
      <c r="F77" s="2" t="inlineStr">
        <is>
          <t>Hospital-based HD</t>
        </is>
      </c>
      <c r="G77" s="2" t="inlineStr">
        <is>
          <t>Sidon</t>
        </is>
      </c>
      <c r="H77" s="2" t="inlineStr">
        <is>
          <t>South</t>
        </is>
      </c>
      <c r="I77" s="2" t="inlineStr">
        <is>
          <t>South</t>
        </is>
      </c>
      <c r="J77" s="2" t="inlineStr"/>
      <c r="K77" s="2" t="inlineStr"/>
      <c r="L77" s="2" t="inlineStr"/>
      <c r="M77" s="2" t="inlineStr"/>
      <c r="N77" s="2" t="inlineStr"/>
      <c r="O77" s="2" t="inlineStr">
        <is>
          <t>Unknown</t>
        </is>
      </c>
      <c r="P77" s="2" t="inlineStr">
        <is>
          <t>Unknown</t>
        </is>
      </c>
      <c r="Q77" s="2" t="inlineStr">
        <is>
          <t>Yes</t>
        </is>
      </c>
      <c r="R77" s="2" t="inlineStr"/>
      <c r="S77" s="2" t="inlineStr"/>
      <c r="T77" s="2" t="inlineStr"/>
      <c r="U77" s="2" t="inlineStr"/>
      <c r="V77" s="2" t="inlineStr"/>
      <c r="W77" s="2" t="inlineStr"/>
      <c r="X77" s="2" t="inlineStr"/>
      <c r="Y77" s="2" t="n"/>
      <c r="Z77" s="2" t="inlineStr"/>
      <c r="AA77" s="2" t="inlineStr"/>
      <c r="AB77" s="2" t="inlineStr"/>
      <c r="AC77" s="2" t="n"/>
      <c r="AD77" s="2" t="n"/>
      <c r="AE77" s="2" t="inlineStr"/>
      <c r="AF77" s="2" t="inlineStr"/>
      <c r="AG77" s="2" t="inlineStr"/>
      <c r="AH77" s="2" t="inlineStr"/>
      <c r="AI77" s="2" t="inlineStr"/>
      <c r="AJ77" s="2" t="inlineStr"/>
      <c r="AK77" s="2" t="inlineStr"/>
      <c r="AL77" s="2" t="inlineStr"/>
      <c r="AM77" s="2" t="inlineStr"/>
      <c r="AN77" s="2" t="inlineStr"/>
      <c r="AO77" s="2" t="inlineStr">
        <is>
          <t>High</t>
        </is>
      </c>
      <c r="AP77" s="2" t="inlineStr"/>
      <c r="AQ77" s="2" t="inlineStr"/>
      <c r="AR77" s="2" t="inlineStr"/>
      <c r="AS77" s="2" t="inlineStr">
        <is>
          <t>Verified HD facility</t>
        </is>
      </c>
      <c r="AT77" s="2" t="inlineStr">
        <is>
          <t>Tier_2</t>
        </is>
      </c>
      <c r="AU77" s="2" t="inlineStr">
        <is>
          <t>OBSERVED</t>
        </is>
      </c>
      <c r="AV77" s="2" t="inlineStr">
        <is>
          <t>Very High</t>
        </is>
      </c>
      <c r="AW77" s="2" t="inlineStr">
        <is>
          <t>SRC-WEB-046</t>
        </is>
      </c>
      <c r="AX77" s="2" t="inlineStr">
        <is>
          <t>https://pmc.ncbi.nlm.nih.gov/articles/PMC7912967/</t>
        </is>
      </c>
      <c r="AY77" s="2" t="inlineStr">
        <is>
          <t>Peer-reviewed Lebanese HD cohort/trial identified the hospital as a participating HD site; ownership not inferred.</t>
        </is>
      </c>
      <c r="AZ77" s="2" t="inlineStr">
        <is>
          <t>SOURCE-VERIFIED HD SERVICE; CURRENT STATUS SHOULD BE RECHECKED WHERE SOURCE IS HISTORICAL</t>
        </is>
      </c>
      <c r="BA77" s="2" t="inlineStr">
        <is>
          <t>2026-08-10</t>
        </is>
      </c>
      <c r="BB77" s="2" t="inlineStr">
        <is>
          <t>ANALYST_SCENARIO</t>
        </is>
      </c>
      <c r="BC77" s="2" t="inlineStr">
        <is>
          <t>Analyst prioritization based on verified HD service; not observed market share.</t>
        </is>
      </c>
    </row>
    <row r="78">
      <c r="A78" s="2" t="inlineStr">
        <is>
          <t>LBN-F003</t>
        </is>
      </c>
      <c r="B78" s="2" t="inlineStr">
        <is>
          <t>Lebanon</t>
        </is>
      </c>
      <c r="C78" s="2" t="inlineStr">
        <is>
          <t>LBN</t>
        </is>
      </c>
      <c r="D78" s="2" t="inlineStr">
        <is>
          <t>Khoury Hospital</t>
        </is>
      </c>
      <c r="E78" s="2" t="inlineStr">
        <is>
          <t>Hospital_Dialysis_Unit</t>
        </is>
      </c>
      <c r="F78" s="2" t="inlineStr">
        <is>
          <t>Hospital-based HD</t>
        </is>
      </c>
      <c r="G78" s="2" t="inlineStr">
        <is>
          <t>Zahle</t>
        </is>
      </c>
      <c r="H78" s="2" t="inlineStr">
        <is>
          <t>Bekaa</t>
        </is>
      </c>
      <c r="I78" s="2" t="inlineStr">
        <is>
          <t>Bekaa</t>
        </is>
      </c>
      <c r="J78" s="2" t="inlineStr"/>
      <c r="K78" s="2" t="inlineStr"/>
      <c r="L78" s="2" t="inlineStr"/>
      <c r="M78" s="2" t="inlineStr"/>
      <c r="N78" s="2" t="inlineStr"/>
      <c r="O78" s="2" t="inlineStr">
        <is>
          <t>Unknown</t>
        </is>
      </c>
      <c r="P78" s="2" t="inlineStr">
        <is>
          <t>Unknown</t>
        </is>
      </c>
      <c r="Q78" s="2" t="inlineStr">
        <is>
          <t>Yes</t>
        </is>
      </c>
      <c r="R78" s="2" t="inlineStr"/>
      <c r="S78" s="2" t="inlineStr"/>
      <c r="T78" s="2" t="inlineStr"/>
      <c r="U78" s="2" t="inlineStr"/>
      <c r="V78" s="2" t="inlineStr"/>
      <c r="W78" s="2" t="inlineStr"/>
      <c r="X78" s="2" t="inlineStr"/>
      <c r="Y78" s="2" t="n"/>
      <c r="Z78" s="2" t="inlineStr"/>
      <c r="AA78" s="2" t="inlineStr"/>
      <c r="AB78" s="2" t="inlineStr"/>
      <c r="AC78" s="2" t="n"/>
      <c r="AD78" s="2" t="n"/>
      <c r="AE78" s="2" t="inlineStr"/>
      <c r="AF78" s="2" t="inlineStr"/>
      <c r="AG78" s="2" t="inlineStr"/>
      <c r="AH78" s="2" t="inlineStr"/>
      <c r="AI78" s="2" t="inlineStr"/>
      <c r="AJ78" s="2" t="inlineStr"/>
      <c r="AK78" s="2" t="inlineStr"/>
      <c r="AL78" s="2" t="inlineStr"/>
      <c r="AM78" s="2" t="inlineStr"/>
      <c r="AN78" s="2" t="inlineStr"/>
      <c r="AO78" s="2" t="inlineStr">
        <is>
          <t>High</t>
        </is>
      </c>
      <c r="AP78" s="2" t="inlineStr"/>
      <c r="AQ78" s="2" t="inlineStr"/>
      <c r="AR78" s="2" t="inlineStr"/>
      <c r="AS78" s="2" t="inlineStr">
        <is>
          <t>Verified HD facility</t>
        </is>
      </c>
      <c r="AT78" s="2" t="inlineStr">
        <is>
          <t>Tier_2</t>
        </is>
      </c>
      <c r="AU78" s="2" t="inlineStr">
        <is>
          <t>OBSERVED</t>
        </is>
      </c>
      <c r="AV78" s="2" t="inlineStr">
        <is>
          <t>Very High</t>
        </is>
      </c>
      <c r="AW78" s="2" t="inlineStr">
        <is>
          <t>SRC-WEB-046</t>
        </is>
      </c>
      <c r="AX78" s="2" t="inlineStr">
        <is>
          <t>https://pmc.ncbi.nlm.nih.gov/articles/PMC7912967/</t>
        </is>
      </c>
      <c r="AY78" s="2" t="inlineStr">
        <is>
          <t>Peer-reviewed Lebanese HD cohort/trial identified the hospital as a participating HD site; ownership not inferred.</t>
        </is>
      </c>
      <c r="AZ78" s="2" t="inlineStr">
        <is>
          <t>SOURCE-VERIFIED HD SERVICE; CURRENT STATUS SHOULD BE RECHECKED WHERE SOURCE IS HISTORICAL</t>
        </is>
      </c>
      <c r="BA78" s="2" t="inlineStr">
        <is>
          <t>2026-08-10</t>
        </is>
      </c>
      <c r="BB78" s="2" t="inlineStr">
        <is>
          <t>ANALYST_SCENARIO</t>
        </is>
      </c>
      <c r="BC78" s="2" t="inlineStr">
        <is>
          <t>Analyst prioritization based on verified HD service; not observed market share.</t>
        </is>
      </c>
    </row>
    <row r="79">
      <c r="A79" s="2" t="inlineStr">
        <is>
          <t>LBN-F004</t>
        </is>
      </c>
      <c r="B79" s="2" t="inlineStr">
        <is>
          <t>Lebanon</t>
        </is>
      </c>
      <c r="C79" s="2" t="inlineStr">
        <is>
          <t>LBN</t>
        </is>
      </c>
      <c r="D79" s="2" t="inlineStr">
        <is>
          <t>Hammoud Hospital University Medical Center</t>
        </is>
      </c>
      <c r="E79" s="2" t="inlineStr">
        <is>
          <t>Hospital_Dialysis_Unit</t>
        </is>
      </c>
      <c r="F79" s="2" t="inlineStr">
        <is>
          <t>Hospital-based HD</t>
        </is>
      </c>
      <c r="G79" s="2" t="inlineStr">
        <is>
          <t>Sidon</t>
        </is>
      </c>
      <c r="H79" s="2" t="inlineStr">
        <is>
          <t>South</t>
        </is>
      </c>
      <c r="I79" s="2" t="inlineStr">
        <is>
          <t>South</t>
        </is>
      </c>
      <c r="J79" s="2" t="inlineStr"/>
      <c r="K79" s="2" t="inlineStr"/>
      <c r="L79" s="2" t="inlineStr"/>
      <c r="M79" s="2" t="inlineStr"/>
      <c r="N79" s="2" t="inlineStr"/>
      <c r="O79" s="2" t="inlineStr">
        <is>
          <t>Unknown</t>
        </is>
      </c>
      <c r="P79" s="2" t="inlineStr">
        <is>
          <t>Unknown</t>
        </is>
      </c>
      <c r="Q79" s="2" t="inlineStr">
        <is>
          <t>Yes</t>
        </is>
      </c>
      <c r="R79" s="2" t="inlineStr"/>
      <c r="S79" s="2" t="inlineStr"/>
      <c r="T79" s="2" t="inlineStr"/>
      <c r="U79" s="2" t="inlineStr"/>
      <c r="V79" s="2" t="inlineStr"/>
      <c r="W79" s="2" t="inlineStr"/>
      <c r="X79" s="2" t="inlineStr"/>
      <c r="Y79" s="2" t="n"/>
      <c r="Z79" s="2" t="inlineStr"/>
      <c r="AA79" s="2" t="inlineStr"/>
      <c r="AB79" s="2" t="inlineStr"/>
      <c r="AC79" s="2" t="n"/>
      <c r="AD79" s="2" t="n"/>
      <c r="AE79" s="2" t="inlineStr"/>
      <c r="AF79" s="2" t="inlineStr"/>
      <c r="AG79" s="2" t="inlineStr"/>
      <c r="AH79" s="2" t="inlineStr"/>
      <c r="AI79" s="2" t="inlineStr"/>
      <c r="AJ79" s="2" t="inlineStr"/>
      <c r="AK79" s="2" t="inlineStr"/>
      <c r="AL79" s="2" t="inlineStr"/>
      <c r="AM79" s="2" t="inlineStr"/>
      <c r="AN79" s="2" t="inlineStr"/>
      <c r="AO79" s="2" t="inlineStr">
        <is>
          <t>High</t>
        </is>
      </c>
      <c r="AP79" s="2" t="inlineStr"/>
      <c r="AQ79" s="2" t="inlineStr"/>
      <c r="AR79" s="2" t="inlineStr"/>
      <c r="AS79" s="2" t="inlineStr">
        <is>
          <t>Verified HD facility</t>
        </is>
      </c>
      <c r="AT79" s="2" t="inlineStr">
        <is>
          <t>Tier_2</t>
        </is>
      </c>
      <c r="AU79" s="2" t="inlineStr">
        <is>
          <t>OBSERVED</t>
        </is>
      </c>
      <c r="AV79" s="2" t="inlineStr">
        <is>
          <t>Very High</t>
        </is>
      </c>
      <c r="AW79" s="2" t="inlineStr">
        <is>
          <t>SRC-WEB-046;SRC-WEB-047</t>
        </is>
      </c>
      <c r="AX79" s="2" t="inlineStr">
        <is>
          <t>https://pmc.ncbi.nlm.nih.gov/articles/PMC7912967/;https://pmc.ncbi.nlm.nih.gov/articles/PMC11972488/</t>
        </is>
      </c>
      <c r="AY79" s="2" t="inlineStr">
        <is>
          <t>Peer-reviewed Lebanese HD cohort/trial identified the hospital as a participating HD site; ownership not inferred.</t>
        </is>
      </c>
      <c r="AZ79" s="2" t="inlineStr">
        <is>
          <t>SOURCE-VERIFIED HD SERVICE; CURRENT STATUS SHOULD BE RECHECKED WHERE SOURCE IS HISTORICAL</t>
        </is>
      </c>
      <c r="BA79" s="2" t="inlineStr">
        <is>
          <t>2026-08-10</t>
        </is>
      </c>
      <c r="BB79" s="2" t="inlineStr">
        <is>
          <t>ANALYST_SCENARIO</t>
        </is>
      </c>
      <c r="BC79" s="2" t="inlineStr">
        <is>
          <t>Analyst prioritization based on verified HD service; not observed market share.</t>
        </is>
      </c>
    </row>
    <row r="80">
      <c r="A80" s="2" t="inlineStr">
        <is>
          <t>LBN-F005</t>
        </is>
      </c>
      <c r="B80" s="2" t="inlineStr">
        <is>
          <t>Lebanon</t>
        </is>
      </c>
      <c r="C80" s="2" t="inlineStr">
        <is>
          <t>LBN</t>
        </is>
      </c>
      <c r="D80" s="2" t="inlineStr">
        <is>
          <t>FMC Hospital</t>
        </is>
      </c>
      <c r="E80" s="2" t="inlineStr">
        <is>
          <t>Hospital_Dialysis_Unit</t>
        </is>
      </c>
      <c r="F80" s="2" t="inlineStr">
        <is>
          <t>Hospital-based HD</t>
        </is>
      </c>
      <c r="G80" s="2" t="inlineStr">
        <is>
          <t>Mejdlaya</t>
        </is>
      </c>
      <c r="H80" s="2" t="inlineStr">
        <is>
          <t>North</t>
        </is>
      </c>
      <c r="I80" s="2" t="inlineStr">
        <is>
          <t>North</t>
        </is>
      </c>
      <c r="J80" s="2" t="inlineStr"/>
      <c r="K80" s="2" t="inlineStr"/>
      <c r="L80" s="2" t="inlineStr"/>
      <c r="M80" s="2" t="inlineStr"/>
      <c r="N80" s="2" t="inlineStr"/>
      <c r="O80" s="2" t="inlineStr">
        <is>
          <t>Unknown</t>
        </is>
      </c>
      <c r="P80" s="2" t="inlineStr">
        <is>
          <t>Unknown</t>
        </is>
      </c>
      <c r="Q80" s="2" t="inlineStr">
        <is>
          <t>Yes</t>
        </is>
      </c>
      <c r="R80" s="2" t="inlineStr"/>
      <c r="S80" s="2" t="inlineStr"/>
      <c r="T80" s="2" t="inlineStr"/>
      <c r="U80" s="2" t="inlineStr"/>
      <c r="V80" s="2" t="inlineStr"/>
      <c r="W80" s="2" t="inlineStr"/>
      <c r="X80" s="2" t="inlineStr"/>
      <c r="Y80" s="2" t="n"/>
      <c r="Z80" s="2" t="inlineStr"/>
      <c r="AA80" s="2" t="inlineStr"/>
      <c r="AB80" s="2" t="inlineStr"/>
      <c r="AC80" s="2" t="n"/>
      <c r="AD80" s="2" t="n"/>
      <c r="AE80" s="2" t="inlineStr"/>
      <c r="AF80" s="2" t="inlineStr"/>
      <c r="AG80" s="2" t="inlineStr"/>
      <c r="AH80" s="2" t="inlineStr"/>
      <c r="AI80" s="2" t="inlineStr"/>
      <c r="AJ80" s="2" t="inlineStr"/>
      <c r="AK80" s="2" t="inlineStr"/>
      <c r="AL80" s="2" t="inlineStr"/>
      <c r="AM80" s="2" t="inlineStr"/>
      <c r="AN80" s="2" t="inlineStr"/>
      <c r="AO80" s="2" t="inlineStr">
        <is>
          <t>High</t>
        </is>
      </c>
      <c r="AP80" s="2" t="inlineStr"/>
      <c r="AQ80" s="2" t="inlineStr"/>
      <c r="AR80" s="2" t="inlineStr"/>
      <c r="AS80" s="2" t="inlineStr">
        <is>
          <t>Verified HD facility</t>
        </is>
      </c>
      <c r="AT80" s="2" t="inlineStr">
        <is>
          <t>Tier_2</t>
        </is>
      </c>
      <c r="AU80" s="2" t="inlineStr">
        <is>
          <t>OBSERVED</t>
        </is>
      </c>
      <c r="AV80" s="2" t="inlineStr">
        <is>
          <t>Very High</t>
        </is>
      </c>
      <c r="AW80" s="2" t="inlineStr">
        <is>
          <t>SRC-WEB-046</t>
        </is>
      </c>
      <c r="AX80" s="2" t="inlineStr">
        <is>
          <t>https://pmc.ncbi.nlm.nih.gov/articles/PMC7912967/</t>
        </is>
      </c>
      <c r="AY80" s="2" t="inlineStr">
        <is>
          <t>Peer-reviewed Lebanese HD cohort/trial identified the hospital as a participating HD site; ownership not inferred.</t>
        </is>
      </c>
      <c r="AZ80" s="2" t="inlineStr">
        <is>
          <t>SOURCE-VERIFIED HD SERVICE; CURRENT STATUS SHOULD BE RECHECKED WHERE SOURCE IS HISTORICAL</t>
        </is>
      </c>
      <c r="BA80" s="2" t="inlineStr">
        <is>
          <t>2026-08-10</t>
        </is>
      </c>
      <c r="BB80" s="2" t="inlineStr">
        <is>
          <t>ANALYST_SCENARIO</t>
        </is>
      </c>
      <c r="BC80" s="2" t="inlineStr">
        <is>
          <t>Analyst prioritization based on verified HD service; not observed market share.</t>
        </is>
      </c>
    </row>
    <row r="81">
      <c r="A81" s="2" t="inlineStr">
        <is>
          <t>LBN-F006</t>
        </is>
      </c>
      <c r="B81" s="2" t="inlineStr">
        <is>
          <t>Lebanon</t>
        </is>
      </c>
      <c r="C81" s="2" t="inlineStr">
        <is>
          <t>LBN</t>
        </is>
      </c>
      <c r="D81" s="2" t="inlineStr">
        <is>
          <t>Sahel Hospital</t>
        </is>
      </c>
      <c r="E81" s="2" t="inlineStr">
        <is>
          <t>Hospital_Dialysis_Unit</t>
        </is>
      </c>
      <c r="F81" s="2" t="inlineStr">
        <is>
          <t>Hospital-based HD</t>
        </is>
      </c>
      <c r="G81" s="2" t="inlineStr">
        <is>
          <t>Haret Hreik</t>
        </is>
      </c>
      <c r="H81" s="2" t="inlineStr">
        <is>
          <t>Mount Lebanon</t>
        </is>
      </c>
      <c r="I81" s="2" t="inlineStr">
        <is>
          <t>Mount Lebanon</t>
        </is>
      </c>
      <c r="J81" s="2" t="inlineStr"/>
      <c r="K81" s="2" t="inlineStr"/>
      <c r="L81" s="2" t="inlineStr"/>
      <c r="M81" s="2" t="inlineStr"/>
      <c r="N81" s="2" t="inlineStr"/>
      <c r="O81" s="2" t="inlineStr">
        <is>
          <t>Unknown</t>
        </is>
      </c>
      <c r="P81" s="2" t="inlineStr">
        <is>
          <t>Unknown</t>
        </is>
      </c>
      <c r="Q81" s="2" t="inlineStr">
        <is>
          <t>Yes</t>
        </is>
      </c>
      <c r="R81" s="2" t="inlineStr"/>
      <c r="S81" s="2" t="inlineStr"/>
      <c r="T81" s="2" t="inlineStr"/>
      <c r="U81" s="2" t="inlineStr"/>
      <c r="V81" s="2" t="inlineStr"/>
      <c r="W81" s="2" t="inlineStr"/>
      <c r="X81" s="2" t="inlineStr"/>
      <c r="Y81" s="2" t="n"/>
      <c r="Z81" s="2" t="inlineStr"/>
      <c r="AA81" s="2" t="inlineStr"/>
      <c r="AB81" s="2" t="inlineStr"/>
      <c r="AC81" s="2" t="n"/>
      <c r="AD81" s="2" t="n"/>
      <c r="AE81" s="2" t="inlineStr"/>
      <c r="AF81" s="2" t="inlineStr"/>
      <c r="AG81" s="2" t="inlineStr"/>
      <c r="AH81" s="2" t="inlineStr"/>
      <c r="AI81" s="2" t="inlineStr"/>
      <c r="AJ81" s="2" t="inlineStr"/>
      <c r="AK81" s="2" t="inlineStr"/>
      <c r="AL81" s="2" t="inlineStr"/>
      <c r="AM81" s="2" t="inlineStr"/>
      <c r="AN81" s="2" t="inlineStr"/>
      <c r="AO81" s="2" t="inlineStr">
        <is>
          <t>High</t>
        </is>
      </c>
      <c r="AP81" s="2" t="inlineStr"/>
      <c r="AQ81" s="2" t="inlineStr"/>
      <c r="AR81" s="2" t="inlineStr"/>
      <c r="AS81" s="2" t="inlineStr">
        <is>
          <t>Verified HD facility</t>
        </is>
      </c>
      <c r="AT81" s="2" t="inlineStr">
        <is>
          <t>Tier_2</t>
        </is>
      </c>
      <c r="AU81" s="2" t="inlineStr">
        <is>
          <t>OBSERVED</t>
        </is>
      </c>
      <c r="AV81" s="2" t="inlineStr">
        <is>
          <t>Very High</t>
        </is>
      </c>
      <c r="AW81" s="2" t="inlineStr">
        <is>
          <t>SRC-WEB-046</t>
        </is>
      </c>
      <c r="AX81" s="2" t="inlineStr">
        <is>
          <t>https://pmc.ncbi.nlm.nih.gov/articles/PMC7912967/</t>
        </is>
      </c>
      <c r="AY81" s="2" t="inlineStr">
        <is>
          <t>Peer-reviewed Lebanese HD cohort/trial identified the hospital as a participating HD site; ownership not inferred.</t>
        </is>
      </c>
      <c r="AZ81" s="2" t="inlineStr">
        <is>
          <t>SOURCE-VERIFIED HD SERVICE; CURRENT STATUS SHOULD BE RECHECKED WHERE SOURCE IS HISTORICAL</t>
        </is>
      </c>
      <c r="BA81" s="2" t="inlineStr">
        <is>
          <t>2026-08-10</t>
        </is>
      </c>
      <c r="BB81" s="2" t="inlineStr">
        <is>
          <t>ANALYST_SCENARIO</t>
        </is>
      </c>
      <c r="BC81" s="2" t="inlineStr">
        <is>
          <t>Analyst prioritization based on verified HD service; not observed market share.</t>
        </is>
      </c>
    </row>
    <row r="82">
      <c r="A82" s="2" t="inlineStr">
        <is>
          <t>LBN-F007</t>
        </is>
      </c>
      <c r="B82" s="2" t="inlineStr">
        <is>
          <t>Lebanon</t>
        </is>
      </c>
      <c r="C82" s="2" t="inlineStr">
        <is>
          <t>LBN</t>
        </is>
      </c>
      <c r="D82" s="2" t="inlineStr">
        <is>
          <t>Beit Chabeb Hospital</t>
        </is>
      </c>
      <c r="E82" s="2" t="inlineStr">
        <is>
          <t>Hospital_Dialysis_Unit</t>
        </is>
      </c>
      <c r="F82" s="2" t="inlineStr">
        <is>
          <t>Hospital-based HD</t>
        </is>
      </c>
      <c r="G82" s="2" t="inlineStr">
        <is>
          <t>Beit Chabeb</t>
        </is>
      </c>
      <c r="H82" s="2" t="inlineStr">
        <is>
          <t>Mount Lebanon</t>
        </is>
      </c>
      <c r="I82" s="2" t="inlineStr">
        <is>
          <t>Mount Lebanon</t>
        </is>
      </c>
      <c r="J82" s="2" t="inlineStr"/>
      <c r="K82" s="2" t="inlineStr"/>
      <c r="L82" s="2" t="inlineStr"/>
      <c r="M82" s="2" t="inlineStr"/>
      <c r="N82" s="2" t="inlineStr"/>
      <c r="O82" s="2" t="inlineStr">
        <is>
          <t>Unknown</t>
        </is>
      </c>
      <c r="P82" s="2" t="inlineStr">
        <is>
          <t>Unknown</t>
        </is>
      </c>
      <c r="Q82" s="2" t="inlineStr">
        <is>
          <t>Yes</t>
        </is>
      </c>
      <c r="R82" s="2" t="inlineStr"/>
      <c r="S82" s="2" t="inlineStr"/>
      <c r="T82" s="2" t="inlineStr"/>
      <c r="U82" s="2" t="inlineStr"/>
      <c r="V82" s="2" t="inlineStr"/>
      <c r="W82" s="2" t="inlineStr"/>
      <c r="X82" s="2" t="inlineStr"/>
      <c r="Y82" s="2" t="n"/>
      <c r="Z82" s="2" t="inlineStr"/>
      <c r="AA82" s="2" t="inlineStr"/>
      <c r="AB82" s="2" t="inlineStr"/>
      <c r="AC82" s="2" t="n"/>
      <c r="AD82" s="2" t="n"/>
      <c r="AE82" s="2" t="inlineStr"/>
      <c r="AF82" s="2" t="inlineStr"/>
      <c r="AG82" s="2" t="inlineStr"/>
      <c r="AH82" s="2" t="inlineStr"/>
      <c r="AI82" s="2" t="inlineStr"/>
      <c r="AJ82" s="2" t="inlineStr"/>
      <c r="AK82" s="2" t="inlineStr"/>
      <c r="AL82" s="2" t="inlineStr"/>
      <c r="AM82" s="2" t="inlineStr"/>
      <c r="AN82" s="2" t="inlineStr"/>
      <c r="AO82" s="2" t="inlineStr">
        <is>
          <t>High</t>
        </is>
      </c>
      <c r="AP82" s="2" t="inlineStr"/>
      <c r="AQ82" s="2" t="inlineStr"/>
      <c r="AR82" s="2" t="inlineStr"/>
      <c r="AS82" s="2" t="inlineStr">
        <is>
          <t>Verified HD facility</t>
        </is>
      </c>
      <c r="AT82" s="2" t="inlineStr">
        <is>
          <t>Tier_2</t>
        </is>
      </c>
      <c r="AU82" s="2" t="inlineStr">
        <is>
          <t>OBSERVED</t>
        </is>
      </c>
      <c r="AV82" s="2" t="inlineStr">
        <is>
          <t>Very High</t>
        </is>
      </c>
      <c r="AW82" s="2" t="inlineStr">
        <is>
          <t>SRC-WEB-046</t>
        </is>
      </c>
      <c r="AX82" s="2" t="inlineStr">
        <is>
          <t>https://pmc.ncbi.nlm.nih.gov/articles/PMC7912967/</t>
        </is>
      </c>
      <c r="AY82" s="2" t="inlineStr">
        <is>
          <t>Peer-reviewed Lebanese HD cohort/trial identified the hospital as a participating HD site; ownership not inferred.</t>
        </is>
      </c>
      <c r="AZ82" s="2" t="inlineStr">
        <is>
          <t>SOURCE-VERIFIED HD SERVICE; CURRENT STATUS SHOULD BE RECHECKED WHERE SOURCE IS HISTORICAL</t>
        </is>
      </c>
      <c r="BA82" s="2" t="inlineStr">
        <is>
          <t>2026-08-10</t>
        </is>
      </c>
      <c r="BB82" s="2" t="inlineStr">
        <is>
          <t>ANALYST_SCENARIO</t>
        </is>
      </c>
      <c r="BC82" s="2" t="inlineStr">
        <is>
          <t>Analyst prioritization based on verified HD service; not observed market share.</t>
        </is>
      </c>
    </row>
    <row r="83">
      <c r="A83" s="2" t="inlineStr">
        <is>
          <t>LBN-F008</t>
        </is>
      </c>
      <c r="B83" s="2" t="inlineStr">
        <is>
          <t>Lebanon</t>
        </is>
      </c>
      <c r="C83" s="2" t="inlineStr">
        <is>
          <t>LBN</t>
        </is>
      </c>
      <c r="D83" s="2" t="inlineStr">
        <is>
          <t>Saint-Georges Orthodoxe Hospital</t>
        </is>
      </c>
      <c r="E83" s="2" t="inlineStr">
        <is>
          <t>Hospital_Dialysis_Unit</t>
        </is>
      </c>
      <c r="F83" s="2" t="inlineStr">
        <is>
          <t>Hospital-based HD</t>
        </is>
      </c>
      <c r="G83" s="2" t="inlineStr">
        <is>
          <t>Beirut</t>
        </is>
      </c>
      <c r="H83" s="2" t="inlineStr">
        <is>
          <t>Beirut</t>
        </is>
      </c>
      <c r="I83" s="2" t="inlineStr">
        <is>
          <t>Beirut</t>
        </is>
      </c>
      <c r="J83" s="2" t="inlineStr"/>
      <c r="K83" s="2" t="inlineStr"/>
      <c r="L83" s="2" t="inlineStr"/>
      <c r="M83" s="2" t="inlineStr"/>
      <c r="N83" s="2" t="inlineStr"/>
      <c r="O83" s="2" t="inlineStr">
        <is>
          <t>Unknown</t>
        </is>
      </c>
      <c r="P83" s="2" t="inlineStr">
        <is>
          <t>Unknown</t>
        </is>
      </c>
      <c r="Q83" s="2" t="inlineStr">
        <is>
          <t>Yes</t>
        </is>
      </c>
      <c r="R83" s="2" t="inlineStr"/>
      <c r="S83" s="2" t="inlineStr"/>
      <c r="T83" s="2" t="inlineStr"/>
      <c r="U83" s="2" t="inlineStr"/>
      <c r="V83" s="2" t="inlineStr"/>
      <c r="W83" s="2" t="inlineStr"/>
      <c r="X83" s="2" t="inlineStr"/>
      <c r="Y83" s="2" t="n"/>
      <c r="Z83" s="2" t="inlineStr"/>
      <c r="AA83" s="2" t="inlineStr"/>
      <c r="AB83" s="2" t="inlineStr"/>
      <c r="AC83" s="2" t="n"/>
      <c r="AD83" s="2" t="n"/>
      <c r="AE83" s="2" t="inlineStr"/>
      <c r="AF83" s="2" t="inlineStr"/>
      <c r="AG83" s="2" t="inlineStr"/>
      <c r="AH83" s="2" t="inlineStr"/>
      <c r="AI83" s="2" t="inlineStr"/>
      <c r="AJ83" s="2" t="inlineStr"/>
      <c r="AK83" s="2" t="inlineStr"/>
      <c r="AL83" s="2" t="inlineStr"/>
      <c r="AM83" s="2" t="inlineStr"/>
      <c r="AN83" s="2" t="inlineStr"/>
      <c r="AO83" s="2" t="inlineStr">
        <is>
          <t>High</t>
        </is>
      </c>
      <c r="AP83" s="2" t="inlineStr"/>
      <c r="AQ83" s="2" t="inlineStr"/>
      <c r="AR83" s="2" t="inlineStr"/>
      <c r="AS83" s="2" t="inlineStr">
        <is>
          <t>Verified HD facility</t>
        </is>
      </c>
      <c r="AT83" s="2" t="inlineStr">
        <is>
          <t>Tier_1</t>
        </is>
      </c>
      <c r="AU83" s="2" t="inlineStr">
        <is>
          <t>OBSERVED</t>
        </is>
      </c>
      <c r="AV83" s="2" t="inlineStr">
        <is>
          <t>Very High</t>
        </is>
      </c>
      <c r="AW83" s="2" t="inlineStr">
        <is>
          <t>SRC-WEB-046</t>
        </is>
      </c>
      <c r="AX83" s="2" t="inlineStr">
        <is>
          <t>https://pmc.ncbi.nlm.nih.gov/articles/PMC7912967/</t>
        </is>
      </c>
      <c r="AY83" s="2" t="inlineStr">
        <is>
          <t>Peer-reviewed Lebanese HD cohort/trial identified the hospital as a participating HD site; ownership not inferred.</t>
        </is>
      </c>
      <c r="AZ83" s="2" t="inlineStr">
        <is>
          <t>SOURCE-VERIFIED HD SERVICE; CURRENT STATUS SHOULD BE RECHECKED WHERE SOURCE IS HISTORICAL</t>
        </is>
      </c>
      <c r="BA83" s="2" t="inlineStr">
        <is>
          <t>2026-08-10</t>
        </is>
      </c>
      <c r="BB83" s="2" t="inlineStr">
        <is>
          <t>ANALYST_SCENARIO</t>
        </is>
      </c>
      <c r="BC83" s="2" t="inlineStr">
        <is>
          <t>Analyst prioritization based on verified HD service; not observed market share.</t>
        </is>
      </c>
    </row>
    <row r="84">
      <c r="A84" s="2" t="inlineStr">
        <is>
          <t>LBN-F009</t>
        </is>
      </c>
      <c r="B84" s="2" t="inlineStr">
        <is>
          <t>Lebanon</t>
        </is>
      </c>
      <c r="C84" s="2" t="inlineStr">
        <is>
          <t>LBN</t>
        </is>
      </c>
      <c r="D84" s="2" t="inlineStr">
        <is>
          <t>Rahal Hospital</t>
        </is>
      </c>
      <c r="E84" s="2" t="inlineStr">
        <is>
          <t>Hospital_Dialysis_Unit</t>
        </is>
      </c>
      <c r="F84" s="2" t="inlineStr">
        <is>
          <t>Hospital-based HD</t>
        </is>
      </c>
      <c r="G84" s="2" t="inlineStr">
        <is>
          <t>Akkar</t>
        </is>
      </c>
      <c r="H84" s="2" t="inlineStr">
        <is>
          <t>North</t>
        </is>
      </c>
      <c r="I84" s="2" t="inlineStr">
        <is>
          <t>North</t>
        </is>
      </c>
      <c r="J84" s="2" t="inlineStr"/>
      <c r="K84" s="2" t="inlineStr"/>
      <c r="L84" s="2" t="inlineStr"/>
      <c r="M84" s="2" t="inlineStr"/>
      <c r="N84" s="2" t="inlineStr"/>
      <c r="O84" s="2" t="inlineStr">
        <is>
          <t>Unknown</t>
        </is>
      </c>
      <c r="P84" s="2" t="inlineStr">
        <is>
          <t>Unknown</t>
        </is>
      </c>
      <c r="Q84" s="2" t="inlineStr">
        <is>
          <t>Yes</t>
        </is>
      </c>
      <c r="R84" s="2" t="inlineStr"/>
      <c r="S84" s="2" t="inlineStr"/>
      <c r="T84" s="2" t="inlineStr"/>
      <c r="U84" s="2" t="inlineStr"/>
      <c r="V84" s="2" t="inlineStr"/>
      <c r="W84" s="2" t="inlineStr"/>
      <c r="X84" s="2" t="inlineStr"/>
      <c r="Y84" s="2" t="n"/>
      <c r="Z84" s="2" t="inlineStr"/>
      <c r="AA84" s="2" t="inlineStr"/>
      <c r="AB84" s="2" t="inlineStr"/>
      <c r="AC84" s="2" t="n"/>
      <c r="AD84" s="2" t="n"/>
      <c r="AE84" s="2" t="inlineStr"/>
      <c r="AF84" s="2" t="inlineStr"/>
      <c r="AG84" s="2" t="inlineStr"/>
      <c r="AH84" s="2" t="inlineStr"/>
      <c r="AI84" s="2" t="inlineStr"/>
      <c r="AJ84" s="2" t="inlineStr"/>
      <c r="AK84" s="2" t="inlineStr"/>
      <c r="AL84" s="2" t="inlineStr"/>
      <c r="AM84" s="2" t="inlineStr"/>
      <c r="AN84" s="2" t="inlineStr"/>
      <c r="AO84" s="2" t="inlineStr">
        <is>
          <t>High</t>
        </is>
      </c>
      <c r="AP84" s="2" t="inlineStr"/>
      <c r="AQ84" s="2" t="inlineStr"/>
      <c r="AR84" s="2" t="inlineStr"/>
      <c r="AS84" s="2" t="inlineStr">
        <is>
          <t>Verified HD facility</t>
        </is>
      </c>
      <c r="AT84" s="2" t="inlineStr">
        <is>
          <t>Tier_2</t>
        </is>
      </c>
      <c r="AU84" s="2" t="inlineStr">
        <is>
          <t>OBSERVED</t>
        </is>
      </c>
      <c r="AV84" s="2" t="inlineStr">
        <is>
          <t>Very High</t>
        </is>
      </c>
      <c r="AW84" s="2" t="inlineStr">
        <is>
          <t>SRC-WEB-046</t>
        </is>
      </c>
      <c r="AX84" s="2" t="inlineStr">
        <is>
          <t>https://pmc.ncbi.nlm.nih.gov/articles/PMC7912967/</t>
        </is>
      </c>
      <c r="AY84" s="2" t="inlineStr">
        <is>
          <t>Peer-reviewed Lebanese HD cohort/trial identified the hospital as a participating HD site; ownership not inferred.</t>
        </is>
      </c>
      <c r="AZ84" s="2" t="inlineStr">
        <is>
          <t>SOURCE-VERIFIED HD SERVICE; CURRENT STATUS SHOULD BE RECHECKED WHERE SOURCE IS HISTORICAL</t>
        </is>
      </c>
      <c r="BA84" s="2" t="inlineStr">
        <is>
          <t>2026-08-10</t>
        </is>
      </c>
      <c r="BB84" s="2" t="inlineStr">
        <is>
          <t>ANALYST_SCENARIO</t>
        </is>
      </c>
      <c r="BC84" s="2" t="inlineStr">
        <is>
          <t>Analyst prioritization based on verified HD service; not observed market share.</t>
        </is>
      </c>
    </row>
    <row r="85">
      <c r="A85" s="2" t="inlineStr">
        <is>
          <t>LBN-F010</t>
        </is>
      </c>
      <c r="B85" s="2" t="inlineStr">
        <is>
          <t>Lebanon</t>
        </is>
      </c>
      <c r="C85" s="2" t="inlineStr">
        <is>
          <t>LBN</t>
        </is>
      </c>
      <c r="D85" s="2" t="inlineStr">
        <is>
          <t>Jabal Amel Hospital</t>
        </is>
      </c>
      <c r="E85" s="2" t="inlineStr">
        <is>
          <t>Hospital_Dialysis_Unit</t>
        </is>
      </c>
      <c r="F85" s="2" t="inlineStr">
        <is>
          <t>Hospital-based HD</t>
        </is>
      </c>
      <c r="G85" s="2" t="inlineStr">
        <is>
          <t>Tyre</t>
        </is>
      </c>
      <c r="H85" s="2" t="inlineStr">
        <is>
          <t>South</t>
        </is>
      </c>
      <c r="I85" s="2" t="inlineStr">
        <is>
          <t>South</t>
        </is>
      </c>
      <c r="J85" s="2" t="inlineStr"/>
      <c r="K85" s="2" t="inlineStr"/>
      <c r="L85" s="2" t="inlineStr"/>
      <c r="M85" s="2" t="inlineStr"/>
      <c r="N85" s="2" t="inlineStr"/>
      <c r="O85" s="2" t="inlineStr">
        <is>
          <t>Unknown</t>
        </is>
      </c>
      <c r="P85" s="2" t="inlineStr">
        <is>
          <t>Unknown</t>
        </is>
      </c>
      <c r="Q85" s="2" t="inlineStr">
        <is>
          <t>Yes</t>
        </is>
      </c>
      <c r="R85" s="2" t="inlineStr"/>
      <c r="S85" s="2" t="inlineStr"/>
      <c r="T85" s="2" t="inlineStr"/>
      <c r="U85" s="2" t="inlineStr"/>
      <c r="V85" s="2" t="inlineStr"/>
      <c r="W85" s="2" t="inlineStr"/>
      <c r="X85" s="2" t="inlineStr"/>
      <c r="Y85" s="2" t="n"/>
      <c r="Z85" s="2" t="inlineStr"/>
      <c r="AA85" s="2" t="inlineStr"/>
      <c r="AB85" s="2" t="inlineStr"/>
      <c r="AC85" s="2" t="n"/>
      <c r="AD85" s="2" t="n"/>
      <c r="AE85" s="2" t="inlineStr"/>
      <c r="AF85" s="2" t="inlineStr"/>
      <c r="AG85" s="2" t="inlineStr"/>
      <c r="AH85" s="2" t="inlineStr"/>
      <c r="AI85" s="2" t="inlineStr"/>
      <c r="AJ85" s="2" t="inlineStr"/>
      <c r="AK85" s="2" t="inlineStr"/>
      <c r="AL85" s="2" t="inlineStr"/>
      <c r="AM85" s="2" t="inlineStr"/>
      <c r="AN85" s="2" t="inlineStr"/>
      <c r="AO85" s="2" t="inlineStr">
        <is>
          <t>High</t>
        </is>
      </c>
      <c r="AP85" s="2" t="inlineStr"/>
      <c r="AQ85" s="2" t="inlineStr"/>
      <c r="AR85" s="2" t="inlineStr"/>
      <c r="AS85" s="2" t="inlineStr">
        <is>
          <t>Verified HD facility</t>
        </is>
      </c>
      <c r="AT85" s="2" t="inlineStr">
        <is>
          <t>Tier_2</t>
        </is>
      </c>
      <c r="AU85" s="2" t="inlineStr">
        <is>
          <t>OBSERVED</t>
        </is>
      </c>
      <c r="AV85" s="2" t="inlineStr">
        <is>
          <t>Very High</t>
        </is>
      </c>
      <c r="AW85" s="2" t="inlineStr">
        <is>
          <t>SRC-WEB-046</t>
        </is>
      </c>
      <c r="AX85" s="2" t="inlineStr">
        <is>
          <t>https://pmc.ncbi.nlm.nih.gov/articles/PMC7912967/</t>
        </is>
      </c>
      <c r="AY85" s="2" t="inlineStr">
        <is>
          <t>Peer-reviewed Lebanese HD cohort/trial identified the hospital as a participating HD site; ownership not inferred.</t>
        </is>
      </c>
      <c r="AZ85" s="2" t="inlineStr">
        <is>
          <t>SOURCE-VERIFIED HD SERVICE; CURRENT STATUS SHOULD BE RECHECKED WHERE SOURCE IS HISTORICAL</t>
        </is>
      </c>
      <c r="BA85" s="2" t="inlineStr">
        <is>
          <t>2026-08-10</t>
        </is>
      </c>
      <c r="BB85" s="2" t="inlineStr">
        <is>
          <t>ANALYST_SCENARIO</t>
        </is>
      </c>
      <c r="BC85" s="2" t="inlineStr">
        <is>
          <t>Analyst prioritization based on verified HD service; not observed market share.</t>
        </is>
      </c>
    </row>
    <row r="86">
      <c r="A86" s="2" t="inlineStr">
        <is>
          <t>LBN-F011</t>
        </is>
      </c>
      <c r="B86" s="2" t="inlineStr">
        <is>
          <t>Lebanon</t>
        </is>
      </c>
      <c r="C86" s="2" t="inlineStr">
        <is>
          <t>LBN</t>
        </is>
      </c>
      <c r="D86" s="2" t="inlineStr">
        <is>
          <t>Dinnieh Hospital</t>
        </is>
      </c>
      <c r="E86" s="2" t="inlineStr">
        <is>
          <t>Hospital_Dialysis_Unit</t>
        </is>
      </c>
      <c r="F86" s="2" t="inlineStr">
        <is>
          <t>Hospital-based HD</t>
        </is>
      </c>
      <c r="G86" s="2" t="inlineStr">
        <is>
          <t>Dinnieh</t>
        </is>
      </c>
      <c r="H86" s="2" t="inlineStr">
        <is>
          <t>North</t>
        </is>
      </c>
      <c r="I86" s="2" t="inlineStr">
        <is>
          <t>North</t>
        </is>
      </c>
      <c r="J86" s="2" t="inlineStr"/>
      <c r="K86" s="2" t="inlineStr"/>
      <c r="L86" s="2" t="inlineStr"/>
      <c r="M86" s="2" t="inlineStr"/>
      <c r="N86" s="2" t="inlineStr"/>
      <c r="O86" s="2" t="inlineStr">
        <is>
          <t>Unknown</t>
        </is>
      </c>
      <c r="P86" s="2" t="inlineStr">
        <is>
          <t>Unknown</t>
        </is>
      </c>
      <c r="Q86" s="2" t="inlineStr">
        <is>
          <t>Yes</t>
        </is>
      </c>
      <c r="R86" s="2" t="inlineStr"/>
      <c r="S86" s="2" t="inlineStr"/>
      <c r="T86" s="2" t="inlineStr"/>
      <c r="U86" s="2" t="inlineStr"/>
      <c r="V86" s="2" t="inlineStr"/>
      <c r="W86" s="2" t="inlineStr"/>
      <c r="X86" s="2" t="inlineStr"/>
      <c r="Y86" s="2" t="n"/>
      <c r="Z86" s="2" t="inlineStr"/>
      <c r="AA86" s="2" t="inlineStr"/>
      <c r="AB86" s="2" t="inlineStr"/>
      <c r="AC86" s="2" t="n"/>
      <c r="AD86" s="2" t="n"/>
      <c r="AE86" s="2" t="inlineStr"/>
      <c r="AF86" s="2" t="inlineStr"/>
      <c r="AG86" s="2" t="inlineStr"/>
      <c r="AH86" s="2" t="inlineStr"/>
      <c r="AI86" s="2" t="inlineStr"/>
      <c r="AJ86" s="2" t="inlineStr"/>
      <c r="AK86" s="2" t="inlineStr"/>
      <c r="AL86" s="2" t="inlineStr"/>
      <c r="AM86" s="2" t="inlineStr"/>
      <c r="AN86" s="2" t="inlineStr"/>
      <c r="AO86" s="2" t="inlineStr">
        <is>
          <t>High</t>
        </is>
      </c>
      <c r="AP86" s="2" t="inlineStr"/>
      <c r="AQ86" s="2" t="inlineStr"/>
      <c r="AR86" s="2" t="inlineStr"/>
      <c r="AS86" s="2" t="inlineStr">
        <is>
          <t>Verified HD facility</t>
        </is>
      </c>
      <c r="AT86" s="2" t="inlineStr">
        <is>
          <t>Tier_2</t>
        </is>
      </c>
      <c r="AU86" s="2" t="inlineStr">
        <is>
          <t>OBSERVED</t>
        </is>
      </c>
      <c r="AV86" s="2" t="inlineStr">
        <is>
          <t>Very High</t>
        </is>
      </c>
      <c r="AW86" s="2" t="inlineStr">
        <is>
          <t>SRC-WEB-046</t>
        </is>
      </c>
      <c r="AX86" s="2" t="inlineStr">
        <is>
          <t>https://pmc.ncbi.nlm.nih.gov/articles/PMC7912967/</t>
        </is>
      </c>
      <c r="AY86" s="2" t="inlineStr">
        <is>
          <t>Peer-reviewed Lebanese HD cohort/trial identified the hospital as a participating HD site; ownership not inferred.</t>
        </is>
      </c>
      <c r="AZ86" s="2" t="inlineStr">
        <is>
          <t>SOURCE-VERIFIED HD SERVICE; CURRENT STATUS SHOULD BE RECHECKED WHERE SOURCE IS HISTORICAL</t>
        </is>
      </c>
      <c r="BA86" s="2" t="inlineStr">
        <is>
          <t>2026-08-10</t>
        </is>
      </c>
      <c r="BB86" s="2" t="inlineStr">
        <is>
          <t>ANALYST_SCENARIO</t>
        </is>
      </c>
      <c r="BC86" s="2" t="inlineStr">
        <is>
          <t>Analyst prioritization based on verified HD service; not observed market share.</t>
        </is>
      </c>
    </row>
    <row r="87">
      <c r="A87" s="2" t="inlineStr">
        <is>
          <t>LBN-F012</t>
        </is>
      </c>
      <c r="B87" s="2" t="inlineStr">
        <is>
          <t>Lebanon</t>
        </is>
      </c>
      <c r="C87" s="2" t="inlineStr">
        <is>
          <t>LBN</t>
        </is>
      </c>
      <c r="D87" s="2" t="inlineStr">
        <is>
          <t>Haroun Hospital</t>
        </is>
      </c>
      <c r="E87" s="2" t="inlineStr">
        <is>
          <t>Hospital_Dialysis_Unit</t>
        </is>
      </c>
      <c r="F87" s="2" t="inlineStr">
        <is>
          <t>Hospital-based HD</t>
        </is>
      </c>
      <c r="G87" s="2" t="inlineStr">
        <is>
          <t>Zalka</t>
        </is>
      </c>
      <c r="H87" s="2" t="inlineStr">
        <is>
          <t>Mount Lebanon</t>
        </is>
      </c>
      <c r="I87" s="2" t="inlineStr">
        <is>
          <t>Mount Lebanon</t>
        </is>
      </c>
      <c r="J87" s="2" t="inlineStr"/>
      <c r="K87" s="2" t="inlineStr"/>
      <c r="L87" s="2" t="inlineStr"/>
      <c r="M87" s="2" t="inlineStr"/>
      <c r="N87" s="2" t="inlineStr"/>
      <c r="O87" s="2" t="inlineStr">
        <is>
          <t>Unknown</t>
        </is>
      </c>
      <c r="P87" s="2" t="inlineStr">
        <is>
          <t>Unknown</t>
        </is>
      </c>
      <c r="Q87" s="2" t="inlineStr">
        <is>
          <t>Yes</t>
        </is>
      </c>
      <c r="R87" s="2" t="inlineStr"/>
      <c r="S87" s="2" t="inlineStr"/>
      <c r="T87" s="2" t="inlineStr"/>
      <c r="U87" s="2" t="inlineStr"/>
      <c r="V87" s="2" t="inlineStr"/>
      <c r="W87" s="2" t="inlineStr"/>
      <c r="X87" s="2" t="inlineStr"/>
      <c r="Y87" s="2" t="n"/>
      <c r="Z87" s="2" t="inlineStr"/>
      <c r="AA87" s="2" t="inlineStr"/>
      <c r="AB87" s="2" t="inlineStr"/>
      <c r="AC87" s="2" t="n"/>
      <c r="AD87" s="2" t="n"/>
      <c r="AE87" s="2" t="inlineStr"/>
      <c r="AF87" s="2" t="inlineStr"/>
      <c r="AG87" s="2" t="inlineStr"/>
      <c r="AH87" s="2" t="inlineStr"/>
      <c r="AI87" s="2" t="inlineStr"/>
      <c r="AJ87" s="2" t="inlineStr"/>
      <c r="AK87" s="2" t="inlineStr"/>
      <c r="AL87" s="2" t="inlineStr"/>
      <c r="AM87" s="2" t="inlineStr"/>
      <c r="AN87" s="2" t="inlineStr"/>
      <c r="AO87" s="2" t="inlineStr">
        <is>
          <t>High</t>
        </is>
      </c>
      <c r="AP87" s="2" t="inlineStr"/>
      <c r="AQ87" s="2" t="inlineStr"/>
      <c r="AR87" s="2" t="inlineStr"/>
      <c r="AS87" s="2" t="inlineStr">
        <is>
          <t>Verified HD facility</t>
        </is>
      </c>
      <c r="AT87" s="2" t="inlineStr">
        <is>
          <t>Tier_2</t>
        </is>
      </c>
      <c r="AU87" s="2" t="inlineStr">
        <is>
          <t>OBSERVED</t>
        </is>
      </c>
      <c r="AV87" s="2" t="inlineStr">
        <is>
          <t>Very High</t>
        </is>
      </c>
      <c r="AW87" s="2" t="inlineStr">
        <is>
          <t>SRC-WEB-046</t>
        </is>
      </c>
      <c r="AX87" s="2" t="inlineStr">
        <is>
          <t>https://pmc.ncbi.nlm.nih.gov/articles/PMC7912967/</t>
        </is>
      </c>
      <c r="AY87" s="2" t="inlineStr">
        <is>
          <t>Peer-reviewed Lebanese HD cohort/trial identified the hospital as a participating HD site; ownership not inferred.</t>
        </is>
      </c>
      <c r="AZ87" s="2" t="inlineStr">
        <is>
          <t>SOURCE-VERIFIED HD SERVICE; CURRENT STATUS SHOULD BE RECHECKED WHERE SOURCE IS HISTORICAL</t>
        </is>
      </c>
      <c r="BA87" s="2" t="inlineStr">
        <is>
          <t>2026-08-10</t>
        </is>
      </c>
      <c r="BB87" s="2" t="inlineStr">
        <is>
          <t>ANALYST_SCENARIO</t>
        </is>
      </c>
      <c r="BC87" s="2" t="inlineStr">
        <is>
          <t>Analyst prioritization based on verified HD service; not observed market share.</t>
        </is>
      </c>
    </row>
    <row r="88">
      <c r="A88" s="2" t="inlineStr">
        <is>
          <t>LBN-F013</t>
        </is>
      </c>
      <c r="B88" s="2" t="inlineStr">
        <is>
          <t>Lebanon</t>
        </is>
      </c>
      <c r="C88" s="2" t="inlineStr">
        <is>
          <t>LBN</t>
        </is>
      </c>
      <c r="D88" s="2" t="inlineStr">
        <is>
          <t>Centre Hospitalier Universitaire Notre Dame de Secours</t>
        </is>
      </c>
      <c r="E88" s="2" t="inlineStr">
        <is>
          <t>Hospital_Dialysis_Unit</t>
        </is>
      </c>
      <c r="F88" s="2" t="inlineStr">
        <is>
          <t>Hospital-based HD</t>
        </is>
      </c>
      <c r="G88" s="2" t="inlineStr">
        <is>
          <t>Byblos</t>
        </is>
      </c>
      <c r="H88" s="2" t="inlineStr">
        <is>
          <t>Mount Lebanon</t>
        </is>
      </c>
      <c r="I88" s="2" t="inlineStr">
        <is>
          <t>Mount Lebanon</t>
        </is>
      </c>
      <c r="J88" s="2" t="inlineStr"/>
      <c r="K88" s="2" t="inlineStr"/>
      <c r="L88" s="2" t="inlineStr"/>
      <c r="M88" s="2" t="inlineStr"/>
      <c r="N88" s="2" t="inlineStr"/>
      <c r="O88" s="2" t="inlineStr">
        <is>
          <t>Unknown</t>
        </is>
      </c>
      <c r="P88" s="2" t="inlineStr">
        <is>
          <t>Unknown</t>
        </is>
      </c>
      <c r="Q88" s="2" t="inlineStr">
        <is>
          <t>Yes</t>
        </is>
      </c>
      <c r="R88" s="2" t="inlineStr"/>
      <c r="S88" s="2" t="inlineStr"/>
      <c r="T88" s="2" t="inlineStr"/>
      <c r="U88" s="2" t="inlineStr"/>
      <c r="V88" s="2" t="inlineStr"/>
      <c r="W88" s="2" t="inlineStr"/>
      <c r="X88" s="2" t="inlineStr"/>
      <c r="Y88" s="2" t="n"/>
      <c r="Z88" s="2" t="inlineStr"/>
      <c r="AA88" s="2" t="inlineStr"/>
      <c r="AB88" s="2" t="inlineStr"/>
      <c r="AC88" s="2" t="n"/>
      <c r="AD88" s="2" t="n"/>
      <c r="AE88" s="2" t="inlineStr"/>
      <c r="AF88" s="2" t="inlineStr"/>
      <c r="AG88" s="2" t="inlineStr"/>
      <c r="AH88" s="2" t="inlineStr"/>
      <c r="AI88" s="2" t="inlineStr"/>
      <c r="AJ88" s="2" t="inlineStr"/>
      <c r="AK88" s="2" t="inlineStr"/>
      <c r="AL88" s="2" t="inlineStr"/>
      <c r="AM88" s="2" t="inlineStr"/>
      <c r="AN88" s="2" t="inlineStr"/>
      <c r="AO88" s="2" t="inlineStr">
        <is>
          <t>High</t>
        </is>
      </c>
      <c r="AP88" s="2" t="inlineStr"/>
      <c r="AQ88" s="2" t="inlineStr"/>
      <c r="AR88" s="2" t="inlineStr"/>
      <c r="AS88" s="2" t="inlineStr">
        <is>
          <t>Verified HD facility</t>
        </is>
      </c>
      <c r="AT88" s="2" t="inlineStr">
        <is>
          <t>Tier_2</t>
        </is>
      </c>
      <c r="AU88" s="2" t="inlineStr">
        <is>
          <t>OBSERVED</t>
        </is>
      </c>
      <c r="AV88" s="2" t="inlineStr">
        <is>
          <t>Very High</t>
        </is>
      </c>
      <c r="AW88" s="2" t="inlineStr">
        <is>
          <t>SRC-WEB-046</t>
        </is>
      </c>
      <c r="AX88" s="2" t="inlineStr">
        <is>
          <t>https://pmc.ncbi.nlm.nih.gov/articles/PMC7912967/</t>
        </is>
      </c>
      <c r="AY88" s="2" t="inlineStr">
        <is>
          <t>Peer-reviewed Lebanese HD cohort/trial identified the hospital as a participating HD site; ownership not inferred.</t>
        </is>
      </c>
      <c r="AZ88" s="2" t="inlineStr">
        <is>
          <t>SOURCE-VERIFIED HD SERVICE; CURRENT STATUS SHOULD BE RECHECKED WHERE SOURCE IS HISTORICAL</t>
        </is>
      </c>
      <c r="BA88" s="2" t="inlineStr">
        <is>
          <t>2026-08-10</t>
        </is>
      </c>
      <c r="BB88" s="2" t="inlineStr">
        <is>
          <t>ANALYST_SCENARIO</t>
        </is>
      </c>
      <c r="BC88" s="2" t="inlineStr">
        <is>
          <t>Analyst prioritization based on verified HD service; not observed market share.</t>
        </is>
      </c>
    </row>
    <row r="89">
      <c r="A89" s="2" t="inlineStr">
        <is>
          <t>LBN-F014</t>
        </is>
      </c>
      <c r="B89" s="2" t="inlineStr">
        <is>
          <t>Lebanon</t>
        </is>
      </c>
      <c r="C89" s="2" t="inlineStr">
        <is>
          <t>LBN</t>
        </is>
      </c>
      <c r="D89" s="2" t="inlineStr">
        <is>
          <t>Sacre-Coeur Hospital</t>
        </is>
      </c>
      <c r="E89" s="2" t="inlineStr">
        <is>
          <t>Hospital_Dialysis_Unit</t>
        </is>
      </c>
      <c r="F89" s="2" t="inlineStr">
        <is>
          <t>Hospital-based HD</t>
        </is>
      </c>
      <c r="G89" s="2" t="inlineStr">
        <is>
          <t>Baabda</t>
        </is>
      </c>
      <c r="H89" s="2" t="inlineStr">
        <is>
          <t>Mount Lebanon</t>
        </is>
      </c>
      <c r="I89" s="2" t="inlineStr">
        <is>
          <t>Mount Lebanon</t>
        </is>
      </c>
      <c r="J89" s="2" t="inlineStr"/>
      <c r="K89" s="2" t="inlineStr"/>
      <c r="L89" s="2" t="inlineStr"/>
      <c r="M89" s="2" t="inlineStr"/>
      <c r="N89" s="2" t="inlineStr"/>
      <c r="O89" s="2" t="inlineStr">
        <is>
          <t>Unknown</t>
        </is>
      </c>
      <c r="P89" s="2" t="inlineStr">
        <is>
          <t>Unknown</t>
        </is>
      </c>
      <c r="Q89" s="2" t="inlineStr">
        <is>
          <t>Yes</t>
        </is>
      </c>
      <c r="R89" s="2" t="inlineStr"/>
      <c r="S89" s="2" t="inlineStr"/>
      <c r="T89" s="2" t="inlineStr"/>
      <c r="U89" s="2" t="inlineStr"/>
      <c r="V89" s="2" t="inlineStr"/>
      <c r="W89" s="2" t="inlineStr"/>
      <c r="X89" s="2" t="inlineStr"/>
      <c r="Y89" s="2" t="n"/>
      <c r="Z89" s="2" t="inlineStr"/>
      <c r="AA89" s="2" t="inlineStr"/>
      <c r="AB89" s="2" t="inlineStr"/>
      <c r="AC89" s="2" t="n"/>
      <c r="AD89" s="2" t="n"/>
      <c r="AE89" s="2" t="inlineStr"/>
      <c r="AF89" s="2" t="inlineStr"/>
      <c r="AG89" s="2" t="inlineStr"/>
      <c r="AH89" s="2" t="inlineStr"/>
      <c r="AI89" s="2" t="inlineStr"/>
      <c r="AJ89" s="2" t="inlineStr"/>
      <c r="AK89" s="2" t="inlineStr"/>
      <c r="AL89" s="2" t="inlineStr"/>
      <c r="AM89" s="2" t="inlineStr"/>
      <c r="AN89" s="2" t="inlineStr"/>
      <c r="AO89" s="2" t="inlineStr">
        <is>
          <t>High</t>
        </is>
      </c>
      <c r="AP89" s="2" t="inlineStr"/>
      <c r="AQ89" s="2" t="inlineStr"/>
      <c r="AR89" s="2" t="inlineStr"/>
      <c r="AS89" s="2" t="inlineStr">
        <is>
          <t>Verified HD facility</t>
        </is>
      </c>
      <c r="AT89" s="2" t="inlineStr">
        <is>
          <t>Tier_2</t>
        </is>
      </c>
      <c r="AU89" s="2" t="inlineStr">
        <is>
          <t>OBSERVED</t>
        </is>
      </c>
      <c r="AV89" s="2" t="inlineStr">
        <is>
          <t>Very High</t>
        </is>
      </c>
      <c r="AW89" s="2" t="inlineStr">
        <is>
          <t>SRC-WEB-046</t>
        </is>
      </c>
      <c r="AX89" s="2" t="inlineStr">
        <is>
          <t>https://pmc.ncbi.nlm.nih.gov/articles/PMC7912967/</t>
        </is>
      </c>
      <c r="AY89" s="2" t="inlineStr">
        <is>
          <t>Peer-reviewed Lebanese HD cohort/trial identified the hospital as a participating HD site; ownership not inferred.</t>
        </is>
      </c>
      <c r="AZ89" s="2" t="inlineStr">
        <is>
          <t>SOURCE-VERIFIED HD SERVICE; CURRENT STATUS SHOULD BE RECHECKED WHERE SOURCE IS HISTORICAL</t>
        </is>
      </c>
      <c r="BA89" s="2" t="inlineStr">
        <is>
          <t>2026-08-10</t>
        </is>
      </c>
      <c r="BB89" s="2" t="inlineStr">
        <is>
          <t>ANALYST_SCENARIO</t>
        </is>
      </c>
      <c r="BC89" s="2" t="inlineStr">
        <is>
          <t>Analyst prioritization based on verified HD service; not observed market share.</t>
        </is>
      </c>
    </row>
    <row r="90">
      <c r="A90" s="2" t="inlineStr">
        <is>
          <t>LBN-F015</t>
        </is>
      </c>
      <c r="B90" s="2" t="inlineStr">
        <is>
          <t>Lebanon</t>
        </is>
      </c>
      <c r="C90" s="2" t="inlineStr">
        <is>
          <t>LBN</t>
        </is>
      </c>
      <c r="D90" s="2" t="inlineStr">
        <is>
          <t>Middle-East Institute of Health</t>
        </is>
      </c>
      <c r="E90" s="2" t="inlineStr">
        <is>
          <t>Hospital_Dialysis_Unit</t>
        </is>
      </c>
      <c r="F90" s="2" t="inlineStr">
        <is>
          <t>Hospital-based HD</t>
        </is>
      </c>
      <c r="G90" s="2" t="inlineStr">
        <is>
          <t>Bsalim</t>
        </is>
      </c>
      <c r="H90" s="2" t="inlineStr">
        <is>
          <t>Mount Lebanon</t>
        </is>
      </c>
      <c r="I90" s="2" t="inlineStr">
        <is>
          <t>Mount Lebanon</t>
        </is>
      </c>
      <c r="J90" s="2" t="inlineStr"/>
      <c r="K90" s="2" t="inlineStr"/>
      <c r="L90" s="2" t="inlineStr"/>
      <c r="M90" s="2" t="inlineStr"/>
      <c r="N90" s="2" t="inlineStr"/>
      <c r="O90" s="2" t="inlineStr">
        <is>
          <t>Unknown</t>
        </is>
      </c>
      <c r="P90" s="2" t="inlineStr">
        <is>
          <t>Unknown</t>
        </is>
      </c>
      <c r="Q90" s="2" t="inlineStr">
        <is>
          <t>Yes</t>
        </is>
      </c>
      <c r="R90" s="2" t="inlineStr"/>
      <c r="S90" s="2" t="inlineStr"/>
      <c r="T90" s="2" t="inlineStr"/>
      <c r="U90" s="2" t="inlineStr"/>
      <c r="V90" s="2" t="inlineStr"/>
      <c r="W90" s="2" t="inlineStr"/>
      <c r="X90" s="2" t="inlineStr"/>
      <c r="Y90" s="2" t="n"/>
      <c r="Z90" s="2" t="inlineStr"/>
      <c r="AA90" s="2" t="inlineStr"/>
      <c r="AB90" s="2" t="inlineStr"/>
      <c r="AC90" s="2" t="n"/>
      <c r="AD90" s="2" t="n"/>
      <c r="AE90" s="2" t="inlineStr"/>
      <c r="AF90" s="2" t="inlineStr"/>
      <c r="AG90" s="2" t="inlineStr"/>
      <c r="AH90" s="2" t="inlineStr"/>
      <c r="AI90" s="2" t="inlineStr"/>
      <c r="AJ90" s="2" t="inlineStr"/>
      <c r="AK90" s="2" t="inlineStr"/>
      <c r="AL90" s="2" t="inlineStr"/>
      <c r="AM90" s="2" t="inlineStr"/>
      <c r="AN90" s="2" t="inlineStr"/>
      <c r="AO90" s="2" t="inlineStr">
        <is>
          <t>High</t>
        </is>
      </c>
      <c r="AP90" s="2" t="inlineStr"/>
      <c r="AQ90" s="2" t="inlineStr"/>
      <c r="AR90" s="2" t="inlineStr"/>
      <c r="AS90" s="2" t="inlineStr">
        <is>
          <t>Verified HD facility</t>
        </is>
      </c>
      <c r="AT90" s="2" t="inlineStr">
        <is>
          <t>Tier_2</t>
        </is>
      </c>
      <c r="AU90" s="2" t="inlineStr">
        <is>
          <t>OBSERVED</t>
        </is>
      </c>
      <c r="AV90" s="2" t="inlineStr">
        <is>
          <t>Very High</t>
        </is>
      </c>
      <c r="AW90" s="2" t="inlineStr">
        <is>
          <t>SRC-WEB-046</t>
        </is>
      </c>
      <c r="AX90" s="2" t="inlineStr">
        <is>
          <t>https://pmc.ncbi.nlm.nih.gov/articles/PMC7912967/</t>
        </is>
      </c>
      <c r="AY90" s="2" t="inlineStr">
        <is>
          <t>Peer-reviewed Lebanese HD cohort/trial identified the hospital as a participating HD site; ownership not inferred.</t>
        </is>
      </c>
      <c r="AZ90" s="2" t="inlineStr">
        <is>
          <t>SOURCE-VERIFIED HD SERVICE; CURRENT STATUS SHOULD BE RECHECKED WHERE SOURCE IS HISTORICAL</t>
        </is>
      </c>
      <c r="BA90" s="2" t="inlineStr">
        <is>
          <t>2026-08-10</t>
        </is>
      </c>
      <c r="BB90" s="2" t="inlineStr">
        <is>
          <t>ANALYST_SCENARIO</t>
        </is>
      </c>
      <c r="BC90" s="2" t="inlineStr">
        <is>
          <t>Analyst prioritization based on verified HD service; not observed market share.</t>
        </is>
      </c>
    </row>
    <row r="91">
      <c r="A91" s="2" t="inlineStr">
        <is>
          <t>LBN-F016</t>
        </is>
      </c>
      <c r="B91" s="2" t="inlineStr">
        <is>
          <t>Lebanon</t>
        </is>
      </c>
      <c r="C91" s="2" t="inlineStr">
        <is>
          <t>LBN</t>
        </is>
      </c>
      <c r="D91" s="2" t="inlineStr">
        <is>
          <t>Saint-Joseph Hospital</t>
        </is>
      </c>
      <c r="E91" s="2" t="inlineStr">
        <is>
          <t>Hospital_Dialysis_Unit</t>
        </is>
      </c>
      <c r="F91" s="2" t="inlineStr">
        <is>
          <t>Hospital-based HD</t>
        </is>
      </c>
      <c r="G91" s="2" t="inlineStr">
        <is>
          <t>Dora</t>
        </is>
      </c>
      <c r="H91" s="2" t="inlineStr">
        <is>
          <t>Mount Lebanon</t>
        </is>
      </c>
      <c r="I91" s="2" t="inlineStr">
        <is>
          <t>Mount Lebanon</t>
        </is>
      </c>
      <c r="J91" s="2" t="inlineStr"/>
      <c r="K91" s="2" t="inlineStr"/>
      <c r="L91" s="2" t="inlineStr"/>
      <c r="M91" s="2" t="inlineStr"/>
      <c r="N91" s="2" t="inlineStr"/>
      <c r="O91" s="2" t="inlineStr">
        <is>
          <t>Unknown</t>
        </is>
      </c>
      <c r="P91" s="2" t="inlineStr">
        <is>
          <t>Unknown</t>
        </is>
      </c>
      <c r="Q91" s="2" t="inlineStr">
        <is>
          <t>Yes</t>
        </is>
      </c>
      <c r="R91" s="2" t="inlineStr"/>
      <c r="S91" s="2" t="inlineStr"/>
      <c r="T91" s="2" t="inlineStr"/>
      <c r="U91" s="2" t="inlineStr"/>
      <c r="V91" s="2" t="inlineStr"/>
      <c r="W91" s="2" t="inlineStr"/>
      <c r="X91" s="2" t="inlineStr"/>
      <c r="Y91" s="2" t="n"/>
      <c r="Z91" s="2" t="inlineStr"/>
      <c r="AA91" s="2" t="inlineStr"/>
      <c r="AB91" s="2" t="inlineStr"/>
      <c r="AC91" s="2" t="n"/>
      <c r="AD91" s="2" t="n"/>
      <c r="AE91" s="2" t="inlineStr"/>
      <c r="AF91" s="2" t="inlineStr"/>
      <c r="AG91" s="2" t="inlineStr"/>
      <c r="AH91" s="2" t="inlineStr"/>
      <c r="AI91" s="2" t="inlineStr"/>
      <c r="AJ91" s="2" t="inlineStr"/>
      <c r="AK91" s="2" t="inlineStr"/>
      <c r="AL91" s="2" t="inlineStr"/>
      <c r="AM91" s="2" t="inlineStr"/>
      <c r="AN91" s="2" t="inlineStr"/>
      <c r="AO91" s="2" t="inlineStr">
        <is>
          <t>High</t>
        </is>
      </c>
      <c r="AP91" s="2" t="inlineStr"/>
      <c r="AQ91" s="2" t="inlineStr"/>
      <c r="AR91" s="2" t="inlineStr"/>
      <c r="AS91" s="2" t="inlineStr">
        <is>
          <t>Verified HD facility</t>
        </is>
      </c>
      <c r="AT91" s="2" t="inlineStr">
        <is>
          <t>Tier_2</t>
        </is>
      </c>
      <c r="AU91" s="2" t="inlineStr">
        <is>
          <t>OBSERVED</t>
        </is>
      </c>
      <c r="AV91" s="2" t="inlineStr">
        <is>
          <t>Very High</t>
        </is>
      </c>
      <c r="AW91" s="2" t="inlineStr">
        <is>
          <t>SRC-WEB-046</t>
        </is>
      </c>
      <c r="AX91" s="2" t="inlineStr">
        <is>
          <t>https://pmc.ncbi.nlm.nih.gov/articles/PMC7912967/</t>
        </is>
      </c>
      <c r="AY91" s="2" t="inlineStr">
        <is>
          <t>Peer-reviewed Lebanese HD cohort/trial identified the hospital as a participating HD site; ownership not inferred.</t>
        </is>
      </c>
      <c r="AZ91" s="2" t="inlineStr">
        <is>
          <t>SOURCE-VERIFIED HD SERVICE; CURRENT STATUS SHOULD BE RECHECKED WHERE SOURCE IS HISTORICAL</t>
        </is>
      </c>
      <c r="BA91" s="2" t="inlineStr">
        <is>
          <t>2026-08-10</t>
        </is>
      </c>
      <c r="BB91" s="2" t="inlineStr">
        <is>
          <t>ANALYST_SCENARIO</t>
        </is>
      </c>
      <c r="BC91" s="2" t="inlineStr">
        <is>
          <t>Analyst prioritization based on verified HD service; not observed market share.</t>
        </is>
      </c>
    </row>
    <row r="92">
      <c r="A92" s="2" t="inlineStr">
        <is>
          <t>LBN-F017</t>
        </is>
      </c>
      <c r="B92" s="2" t="inlineStr">
        <is>
          <t>Lebanon</t>
        </is>
      </c>
      <c r="C92" s="2" t="inlineStr">
        <is>
          <t>LBN</t>
        </is>
      </c>
      <c r="D92" s="2" t="inlineStr">
        <is>
          <t>Bellevue Medical Center</t>
        </is>
      </c>
      <c r="E92" s="2" t="inlineStr">
        <is>
          <t>Hospital_Dialysis_Unit</t>
        </is>
      </c>
      <c r="F92" s="2" t="inlineStr">
        <is>
          <t>Hospital-based HD</t>
        </is>
      </c>
      <c r="G92" s="2" t="inlineStr">
        <is>
          <t>Mansourieh</t>
        </is>
      </c>
      <c r="H92" s="2" t="inlineStr">
        <is>
          <t>Mount Lebanon</t>
        </is>
      </c>
      <c r="I92" s="2" t="inlineStr">
        <is>
          <t>Mount Lebanon</t>
        </is>
      </c>
      <c r="J92" s="2" t="inlineStr"/>
      <c r="K92" s="2" t="inlineStr"/>
      <c r="L92" s="2" t="inlineStr"/>
      <c r="M92" s="2" t="inlineStr"/>
      <c r="N92" s="2" t="inlineStr"/>
      <c r="O92" s="2" t="inlineStr">
        <is>
          <t>Unknown</t>
        </is>
      </c>
      <c r="P92" s="2" t="inlineStr">
        <is>
          <t>Unknown</t>
        </is>
      </c>
      <c r="Q92" s="2" t="inlineStr">
        <is>
          <t>Yes</t>
        </is>
      </c>
      <c r="R92" s="2" t="inlineStr"/>
      <c r="S92" s="2" t="inlineStr"/>
      <c r="T92" s="2" t="inlineStr"/>
      <c r="U92" s="2" t="inlineStr"/>
      <c r="V92" s="2" t="inlineStr"/>
      <c r="W92" s="2" t="inlineStr"/>
      <c r="X92" s="2" t="inlineStr"/>
      <c r="Y92" s="2" t="n"/>
      <c r="Z92" s="2" t="inlineStr"/>
      <c r="AA92" s="2" t="inlineStr"/>
      <c r="AB92" s="2" t="inlineStr"/>
      <c r="AC92" s="2" t="n"/>
      <c r="AD92" s="2" t="n"/>
      <c r="AE92" s="2" t="inlineStr"/>
      <c r="AF92" s="2" t="inlineStr"/>
      <c r="AG92" s="2" t="inlineStr"/>
      <c r="AH92" s="2" t="inlineStr"/>
      <c r="AI92" s="2" t="inlineStr"/>
      <c r="AJ92" s="2" t="inlineStr"/>
      <c r="AK92" s="2" t="inlineStr"/>
      <c r="AL92" s="2" t="inlineStr"/>
      <c r="AM92" s="2" t="inlineStr"/>
      <c r="AN92" s="2" t="inlineStr"/>
      <c r="AO92" s="2" t="inlineStr">
        <is>
          <t>High</t>
        </is>
      </c>
      <c r="AP92" s="2" t="inlineStr"/>
      <c r="AQ92" s="2" t="inlineStr"/>
      <c r="AR92" s="2" t="inlineStr"/>
      <c r="AS92" s="2" t="inlineStr">
        <is>
          <t>Verified HD facility</t>
        </is>
      </c>
      <c r="AT92" s="2" t="inlineStr">
        <is>
          <t>Tier_1</t>
        </is>
      </c>
      <c r="AU92" s="2" t="inlineStr">
        <is>
          <t>OBSERVED</t>
        </is>
      </c>
      <c r="AV92" s="2" t="inlineStr">
        <is>
          <t>Very High</t>
        </is>
      </c>
      <c r="AW92" s="2" t="inlineStr">
        <is>
          <t>SRC-WEB-046;SRC-WEB-047;SRC-WEB-048</t>
        </is>
      </c>
      <c r="AX92" s="2" t="inlineStr">
        <is>
          <t>https://pmc.ncbi.nlm.nih.gov/articles/PMC7912967/;https://pmc.ncbi.nlm.nih.gov/articles/PMC11972488/;https://pmc.ncbi.nlm.nih.gov/articles/PMC9615394/</t>
        </is>
      </c>
      <c r="AY92" s="2" t="inlineStr">
        <is>
          <t>Peer-reviewed Lebanese HD cohort/trial identified the hospital as a participating HD site; ownership not inferred.</t>
        </is>
      </c>
      <c r="AZ92" s="2" t="inlineStr">
        <is>
          <t>SOURCE-VERIFIED HD SERVICE; CURRENT STATUS SHOULD BE RECHECKED WHERE SOURCE IS HISTORICAL</t>
        </is>
      </c>
      <c r="BA92" s="2" t="inlineStr">
        <is>
          <t>2026-08-10</t>
        </is>
      </c>
      <c r="BB92" s="2" t="inlineStr">
        <is>
          <t>ANALYST_SCENARIO</t>
        </is>
      </c>
      <c r="BC92" s="2" t="inlineStr">
        <is>
          <t>Analyst prioritization based on verified HD service; not observed market share.</t>
        </is>
      </c>
    </row>
    <row r="93">
      <c r="A93" s="2" t="inlineStr">
        <is>
          <t>LBN-F018</t>
        </is>
      </c>
      <c r="B93" s="2" t="inlineStr">
        <is>
          <t>Lebanon</t>
        </is>
      </c>
      <c r="C93" s="2" t="inlineStr">
        <is>
          <t>LBN</t>
        </is>
      </c>
      <c r="D93" s="2" t="inlineStr">
        <is>
          <t>Hayek Hospital</t>
        </is>
      </c>
      <c r="E93" s="2" t="inlineStr">
        <is>
          <t>Hospital_Dialysis_Unit</t>
        </is>
      </c>
      <c r="F93" s="2" t="inlineStr">
        <is>
          <t>Hospital-based HD</t>
        </is>
      </c>
      <c r="G93" s="2" t="inlineStr">
        <is>
          <t>Beit El Chaar</t>
        </is>
      </c>
      <c r="H93" s="2" t="inlineStr">
        <is>
          <t>Mount Lebanon</t>
        </is>
      </c>
      <c r="I93" s="2" t="inlineStr">
        <is>
          <t>Mount Lebanon</t>
        </is>
      </c>
      <c r="J93" s="2" t="inlineStr"/>
      <c r="K93" s="2" t="inlineStr"/>
      <c r="L93" s="2" t="inlineStr"/>
      <c r="M93" s="2" t="inlineStr"/>
      <c r="N93" s="2" t="inlineStr"/>
      <c r="O93" s="2" t="inlineStr">
        <is>
          <t>Unknown</t>
        </is>
      </c>
      <c r="P93" s="2" t="inlineStr">
        <is>
          <t>Unknown</t>
        </is>
      </c>
      <c r="Q93" s="2" t="inlineStr">
        <is>
          <t>Yes</t>
        </is>
      </c>
      <c r="R93" s="2" t="inlineStr"/>
      <c r="S93" s="2" t="inlineStr"/>
      <c r="T93" s="2" t="inlineStr"/>
      <c r="U93" s="2" t="inlineStr"/>
      <c r="V93" s="2" t="inlineStr"/>
      <c r="W93" s="2" t="inlineStr"/>
      <c r="X93" s="2" t="inlineStr"/>
      <c r="Y93" s="2" t="n"/>
      <c r="Z93" s="2" t="inlineStr"/>
      <c r="AA93" s="2" t="inlineStr"/>
      <c r="AB93" s="2" t="inlineStr"/>
      <c r="AC93" s="2" t="n"/>
      <c r="AD93" s="2" t="n"/>
      <c r="AE93" s="2" t="inlineStr"/>
      <c r="AF93" s="2" t="inlineStr"/>
      <c r="AG93" s="2" t="inlineStr"/>
      <c r="AH93" s="2" t="inlineStr"/>
      <c r="AI93" s="2" t="inlineStr"/>
      <c r="AJ93" s="2" t="inlineStr"/>
      <c r="AK93" s="2" t="inlineStr"/>
      <c r="AL93" s="2" t="inlineStr"/>
      <c r="AM93" s="2" t="inlineStr"/>
      <c r="AN93" s="2" t="inlineStr"/>
      <c r="AO93" s="2" t="inlineStr">
        <is>
          <t>High</t>
        </is>
      </c>
      <c r="AP93" s="2" t="inlineStr"/>
      <c r="AQ93" s="2" t="inlineStr"/>
      <c r="AR93" s="2" t="inlineStr"/>
      <c r="AS93" s="2" t="inlineStr">
        <is>
          <t>Verified HD facility</t>
        </is>
      </c>
      <c r="AT93" s="2" t="inlineStr">
        <is>
          <t>Tier_2</t>
        </is>
      </c>
      <c r="AU93" s="2" t="inlineStr">
        <is>
          <t>OBSERVED</t>
        </is>
      </c>
      <c r="AV93" s="2" t="inlineStr">
        <is>
          <t>Very High</t>
        </is>
      </c>
      <c r="AW93" s="2" t="inlineStr">
        <is>
          <t>SRC-WEB-046</t>
        </is>
      </c>
      <c r="AX93" s="2" t="inlineStr">
        <is>
          <t>https://pmc.ncbi.nlm.nih.gov/articles/PMC7912967/</t>
        </is>
      </c>
      <c r="AY93" s="2" t="inlineStr">
        <is>
          <t>Peer-reviewed Lebanese HD cohort/trial identified the hospital as a participating HD site; ownership not inferred.</t>
        </is>
      </c>
      <c r="AZ93" s="2" t="inlineStr">
        <is>
          <t>SOURCE-VERIFIED HD SERVICE; CURRENT STATUS SHOULD BE RECHECKED WHERE SOURCE IS HISTORICAL</t>
        </is>
      </c>
      <c r="BA93" s="2" t="inlineStr">
        <is>
          <t>2026-08-10</t>
        </is>
      </c>
      <c r="BB93" s="2" t="inlineStr">
        <is>
          <t>ANALYST_SCENARIO</t>
        </is>
      </c>
      <c r="BC93" s="2" t="inlineStr">
        <is>
          <t>Analyst prioritization based on verified HD service; not observed market share.</t>
        </is>
      </c>
    </row>
    <row r="94">
      <c r="A94" s="2" t="inlineStr">
        <is>
          <t>LBN-F019</t>
        </is>
      </c>
      <c r="B94" s="2" t="inlineStr">
        <is>
          <t>Lebanon</t>
        </is>
      </c>
      <c r="C94" s="2" t="inlineStr">
        <is>
          <t>LBN</t>
        </is>
      </c>
      <c r="D94" s="2" t="inlineStr">
        <is>
          <t>Orange Nassau Hospital</t>
        </is>
      </c>
      <c r="E94" s="2" t="inlineStr">
        <is>
          <t>Hospital_Dialysis_Unit</t>
        </is>
      </c>
      <c r="F94" s="2" t="inlineStr">
        <is>
          <t>Hospital-based HD</t>
        </is>
      </c>
      <c r="G94" s="2" t="inlineStr">
        <is>
          <t>Tripoli</t>
        </is>
      </c>
      <c r="H94" s="2" t="inlineStr">
        <is>
          <t>North</t>
        </is>
      </c>
      <c r="I94" s="2" t="inlineStr">
        <is>
          <t>North</t>
        </is>
      </c>
      <c r="J94" s="2" t="inlineStr"/>
      <c r="K94" s="2" t="inlineStr"/>
      <c r="L94" s="2" t="inlineStr"/>
      <c r="M94" s="2" t="inlineStr"/>
      <c r="N94" s="2" t="inlineStr"/>
      <c r="O94" s="2" t="inlineStr">
        <is>
          <t>Unknown</t>
        </is>
      </c>
      <c r="P94" s="2" t="inlineStr">
        <is>
          <t>Unknown</t>
        </is>
      </c>
      <c r="Q94" s="2" t="inlineStr">
        <is>
          <t>Yes</t>
        </is>
      </c>
      <c r="R94" s="2" t="inlineStr"/>
      <c r="S94" s="2" t="inlineStr"/>
      <c r="T94" s="2" t="inlineStr"/>
      <c r="U94" s="2" t="inlineStr"/>
      <c r="V94" s="2" t="inlineStr"/>
      <c r="W94" s="2" t="inlineStr"/>
      <c r="X94" s="2" t="inlineStr"/>
      <c r="Y94" s="2" t="n"/>
      <c r="Z94" s="2" t="inlineStr"/>
      <c r="AA94" s="2" t="inlineStr"/>
      <c r="AB94" s="2" t="inlineStr"/>
      <c r="AC94" s="2" t="n"/>
      <c r="AD94" s="2" t="n"/>
      <c r="AE94" s="2" t="inlineStr"/>
      <c r="AF94" s="2" t="inlineStr"/>
      <c r="AG94" s="2" t="inlineStr"/>
      <c r="AH94" s="2" t="inlineStr"/>
      <c r="AI94" s="2" t="inlineStr"/>
      <c r="AJ94" s="2" t="inlineStr"/>
      <c r="AK94" s="2" t="inlineStr"/>
      <c r="AL94" s="2" t="inlineStr"/>
      <c r="AM94" s="2" t="inlineStr"/>
      <c r="AN94" s="2" t="inlineStr"/>
      <c r="AO94" s="2" t="inlineStr">
        <is>
          <t>High</t>
        </is>
      </c>
      <c r="AP94" s="2" t="inlineStr"/>
      <c r="AQ94" s="2" t="inlineStr"/>
      <c r="AR94" s="2" t="inlineStr"/>
      <c r="AS94" s="2" t="inlineStr">
        <is>
          <t>Verified HD facility</t>
        </is>
      </c>
      <c r="AT94" s="2" t="inlineStr">
        <is>
          <t>Tier_2</t>
        </is>
      </c>
      <c r="AU94" s="2" t="inlineStr">
        <is>
          <t>OBSERVED</t>
        </is>
      </c>
      <c r="AV94" s="2" t="inlineStr">
        <is>
          <t>Very High</t>
        </is>
      </c>
      <c r="AW94" s="2" t="inlineStr">
        <is>
          <t>SRC-WEB-047</t>
        </is>
      </c>
      <c r="AX94" s="2" t="inlineStr">
        <is>
          <t>https://pmc.ncbi.nlm.nih.gov/articles/PMC11972488/</t>
        </is>
      </c>
      <c r="AY94" s="2" t="inlineStr">
        <is>
          <t>Peer-reviewed Lebanese HD cohort/trial identified the hospital as a participating HD site; ownership not inferred.</t>
        </is>
      </c>
      <c r="AZ94" s="2" t="inlineStr">
        <is>
          <t>SOURCE-VERIFIED HD SERVICE; CURRENT STATUS SHOULD BE RECHECKED WHERE SOURCE IS HISTORICAL</t>
        </is>
      </c>
      <c r="BA94" s="2" t="inlineStr">
        <is>
          <t>2026-08-10</t>
        </is>
      </c>
      <c r="BB94" s="2" t="inlineStr">
        <is>
          <t>ANALYST_SCENARIO</t>
        </is>
      </c>
      <c r="BC94" s="2" t="inlineStr">
        <is>
          <t>Analyst prioritization based on verified HD service; not observed market share.</t>
        </is>
      </c>
    </row>
    <row r="95">
      <c r="A95" s="2" t="inlineStr">
        <is>
          <t>LBN-F020</t>
        </is>
      </c>
      <c r="B95" s="2" t="inlineStr">
        <is>
          <t>Lebanon</t>
        </is>
      </c>
      <c r="C95" s="2" t="inlineStr">
        <is>
          <t>LBN</t>
        </is>
      </c>
      <c r="D95" s="2" t="inlineStr">
        <is>
          <t>Islamic Charity Hospital</t>
        </is>
      </c>
      <c r="E95" s="2" t="inlineStr">
        <is>
          <t>Hospital_Dialysis_Unit</t>
        </is>
      </c>
      <c r="F95" s="2" t="inlineStr">
        <is>
          <t>Hospital-based HD</t>
        </is>
      </c>
      <c r="G95" s="2" t="inlineStr">
        <is>
          <t>Tripoli</t>
        </is>
      </c>
      <c r="H95" s="2" t="inlineStr">
        <is>
          <t>North</t>
        </is>
      </c>
      <c r="I95" s="2" t="inlineStr">
        <is>
          <t>North</t>
        </is>
      </c>
      <c r="J95" s="2" t="inlineStr"/>
      <c r="K95" s="2" t="inlineStr"/>
      <c r="L95" s="2" t="inlineStr"/>
      <c r="M95" s="2" t="inlineStr"/>
      <c r="N95" s="2" t="inlineStr"/>
      <c r="O95" s="2" t="inlineStr">
        <is>
          <t>Unknown</t>
        </is>
      </c>
      <c r="P95" s="2" t="inlineStr">
        <is>
          <t>Unknown</t>
        </is>
      </c>
      <c r="Q95" s="2" t="inlineStr">
        <is>
          <t>Yes</t>
        </is>
      </c>
      <c r="R95" s="2" t="inlineStr"/>
      <c r="S95" s="2" t="inlineStr"/>
      <c r="T95" s="2" t="inlineStr"/>
      <c r="U95" s="2" t="inlineStr"/>
      <c r="V95" s="2" t="inlineStr"/>
      <c r="W95" s="2" t="inlineStr"/>
      <c r="X95" s="2" t="inlineStr"/>
      <c r="Y95" s="2" t="n"/>
      <c r="Z95" s="2" t="inlineStr"/>
      <c r="AA95" s="2" t="inlineStr"/>
      <c r="AB95" s="2" t="inlineStr"/>
      <c r="AC95" s="2" t="n"/>
      <c r="AD95" s="2" t="n"/>
      <c r="AE95" s="2" t="inlineStr"/>
      <c r="AF95" s="2" t="inlineStr"/>
      <c r="AG95" s="2" t="inlineStr"/>
      <c r="AH95" s="2" t="inlineStr"/>
      <c r="AI95" s="2" t="inlineStr"/>
      <c r="AJ95" s="2" t="inlineStr"/>
      <c r="AK95" s="2" t="inlineStr"/>
      <c r="AL95" s="2" t="inlineStr"/>
      <c r="AM95" s="2" t="inlineStr"/>
      <c r="AN95" s="2" t="inlineStr"/>
      <c r="AO95" s="2" t="inlineStr">
        <is>
          <t>High</t>
        </is>
      </c>
      <c r="AP95" s="2" t="inlineStr"/>
      <c r="AQ95" s="2" t="inlineStr"/>
      <c r="AR95" s="2" t="inlineStr"/>
      <c r="AS95" s="2" t="inlineStr">
        <is>
          <t>Verified HD facility</t>
        </is>
      </c>
      <c r="AT95" s="2" t="inlineStr">
        <is>
          <t>Tier_2</t>
        </is>
      </c>
      <c r="AU95" s="2" t="inlineStr">
        <is>
          <t>OBSERVED</t>
        </is>
      </c>
      <c r="AV95" s="2" t="inlineStr">
        <is>
          <t>Very High</t>
        </is>
      </c>
      <c r="AW95" s="2" t="inlineStr">
        <is>
          <t>SRC-WEB-047</t>
        </is>
      </c>
      <c r="AX95" s="2" t="inlineStr">
        <is>
          <t>https://pmc.ncbi.nlm.nih.gov/articles/PMC11972488/</t>
        </is>
      </c>
      <c r="AY95" s="2" t="inlineStr">
        <is>
          <t>Peer-reviewed Lebanese HD cohort/trial identified the hospital as a participating HD site; ownership not inferred.</t>
        </is>
      </c>
      <c r="AZ95" s="2" t="inlineStr">
        <is>
          <t>SOURCE-VERIFIED HD SERVICE; CURRENT STATUS SHOULD BE RECHECKED WHERE SOURCE IS HISTORICAL</t>
        </is>
      </c>
      <c r="BA95" s="2" t="inlineStr">
        <is>
          <t>2026-08-10</t>
        </is>
      </c>
      <c r="BB95" s="2" t="inlineStr">
        <is>
          <t>ANALYST_SCENARIO</t>
        </is>
      </c>
      <c r="BC95" s="2" t="inlineStr">
        <is>
          <t>Analyst prioritization based on verified HD service; not observed market share.</t>
        </is>
      </c>
    </row>
    <row r="96">
      <c r="A96" s="2" t="inlineStr">
        <is>
          <t>LBN-F021</t>
        </is>
      </c>
      <c r="B96" s="2" t="inlineStr">
        <is>
          <t>Lebanon</t>
        </is>
      </c>
      <c r="C96" s="2" t="inlineStr">
        <is>
          <t>LBN</t>
        </is>
      </c>
      <c r="D96" s="2" t="inlineStr">
        <is>
          <t>Saint-George Ajaltoun Hospital</t>
        </is>
      </c>
      <c r="E96" s="2" t="inlineStr">
        <is>
          <t>Hospital_Dialysis_Unit</t>
        </is>
      </c>
      <c r="F96" s="2" t="inlineStr">
        <is>
          <t>Hospital-based HD</t>
        </is>
      </c>
      <c r="G96" s="2" t="inlineStr">
        <is>
          <t>Ajaltoun</t>
        </is>
      </c>
      <c r="H96" s="2" t="inlineStr">
        <is>
          <t>Mount Lebanon</t>
        </is>
      </c>
      <c r="I96" s="2" t="inlineStr">
        <is>
          <t>Mount Lebanon</t>
        </is>
      </c>
      <c r="J96" s="2" t="inlineStr"/>
      <c r="K96" s="2" t="inlineStr"/>
      <c r="L96" s="2" t="inlineStr"/>
      <c r="M96" s="2" t="inlineStr"/>
      <c r="N96" s="2" t="inlineStr"/>
      <c r="O96" s="2" t="inlineStr">
        <is>
          <t>Unknown</t>
        </is>
      </c>
      <c r="P96" s="2" t="inlineStr">
        <is>
          <t>Unknown</t>
        </is>
      </c>
      <c r="Q96" s="2" t="inlineStr">
        <is>
          <t>Yes</t>
        </is>
      </c>
      <c r="R96" s="2" t="inlineStr"/>
      <c r="S96" s="2" t="inlineStr"/>
      <c r="T96" s="2" t="inlineStr"/>
      <c r="U96" s="2" t="inlineStr"/>
      <c r="V96" s="2" t="inlineStr"/>
      <c r="W96" s="2" t="inlineStr"/>
      <c r="X96" s="2" t="inlineStr"/>
      <c r="Y96" s="2" t="n"/>
      <c r="Z96" s="2" t="inlineStr"/>
      <c r="AA96" s="2" t="inlineStr"/>
      <c r="AB96" s="2" t="inlineStr"/>
      <c r="AC96" s="2" t="n"/>
      <c r="AD96" s="2" t="n"/>
      <c r="AE96" s="2" t="inlineStr"/>
      <c r="AF96" s="2" t="inlineStr"/>
      <c r="AG96" s="2" t="inlineStr"/>
      <c r="AH96" s="2" t="inlineStr"/>
      <c r="AI96" s="2" t="inlineStr"/>
      <c r="AJ96" s="2" t="inlineStr"/>
      <c r="AK96" s="2" t="inlineStr"/>
      <c r="AL96" s="2" t="inlineStr"/>
      <c r="AM96" s="2" t="inlineStr"/>
      <c r="AN96" s="2" t="inlineStr"/>
      <c r="AO96" s="2" t="inlineStr">
        <is>
          <t>High</t>
        </is>
      </c>
      <c r="AP96" s="2" t="inlineStr"/>
      <c r="AQ96" s="2" t="inlineStr"/>
      <c r="AR96" s="2" t="inlineStr"/>
      <c r="AS96" s="2" t="inlineStr">
        <is>
          <t>Verified HD facility</t>
        </is>
      </c>
      <c r="AT96" s="2" t="inlineStr">
        <is>
          <t>Tier_2</t>
        </is>
      </c>
      <c r="AU96" s="2" t="inlineStr">
        <is>
          <t>OBSERVED</t>
        </is>
      </c>
      <c r="AV96" s="2" t="inlineStr">
        <is>
          <t>Very High</t>
        </is>
      </c>
      <c r="AW96" s="2" t="inlineStr">
        <is>
          <t>SRC-WEB-047;SRC-WEB-048</t>
        </is>
      </c>
      <c r="AX96" s="2" t="inlineStr">
        <is>
          <t>https://pmc.ncbi.nlm.nih.gov/articles/PMC11972488/;https://pmc.ncbi.nlm.nih.gov/articles/PMC9615394/</t>
        </is>
      </c>
      <c r="AY96" s="2" t="inlineStr">
        <is>
          <t>Peer-reviewed Lebanese HD cohort/trial identified the hospital as a participating HD site; ownership not inferred.</t>
        </is>
      </c>
      <c r="AZ96" s="2" t="inlineStr">
        <is>
          <t>SOURCE-VERIFIED HD SERVICE; CURRENT STATUS SHOULD BE RECHECKED WHERE SOURCE IS HISTORICAL</t>
        </is>
      </c>
      <c r="BA96" s="2" t="inlineStr">
        <is>
          <t>2026-08-10</t>
        </is>
      </c>
      <c r="BB96" s="2" t="inlineStr">
        <is>
          <t>ANALYST_SCENARIO</t>
        </is>
      </c>
      <c r="BC96" s="2" t="inlineStr">
        <is>
          <t>Analyst prioritization based on verified HD service; not observed market share.</t>
        </is>
      </c>
    </row>
    <row r="97">
      <c r="A97" s="2" t="inlineStr">
        <is>
          <t>LBN-F022</t>
        </is>
      </c>
      <c r="B97" s="2" t="inlineStr">
        <is>
          <t>Lebanon</t>
        </is>
      </c>
      <c r="C97" s="2" t="inlineStr">
        <is>
          <t>LBN</t>
        </is>
      </c>
      <c r="D97" s="2" t="inlineStr">
        <is>
          <t>Centre Hospitalier du Nord</t>
        </is>
      </c>
      <c r="E97" s="2" t="inlineStr">
        <is>
          <t>Hospital_Dialysis_Unit</t>
        </is>
      </c>
      <c r="F97" s="2" t="inlineStr">
        <is>
          <t>Hospital-based HD</t>
        </is>
      </c>
      <c r="G97" s="2" t="inlineStr">
        <is>
          <t>Zgharta</t>
        </is>
      </c>
      <c r="H97" s="2" t="inlineStr">
        <is>
          <t>North</t>
        </is>
      </c>
      <c r="I97" s="2" t="inlineStr">
        <is>
          <t>North</t>
        </is>
      </c>
      <c r="J97" s="2" t="inlineStr"/>
      <c r="K97" s="2" t="inlineStr"/>
      <c r="L97" s="2" t="inlineStr"/>
      <c r="M97" s="2" t="inlineStr"/>
      <c r="N97" s="2" t="inlineStr"/>
      <c r="O97" s="2" t="inlineStr">
        <is>
          <t>Unknown</t>
        </is>
      </c>
      <c r="P97" s="2" t="inlineStr">
        <is>
          <t>Unknown</t>
        </is>
      </c>
      <c r="Q97" s="2" t="inlineStr">
        <is>
          <t>Yes</t>
        </is>
      </c>
      <c r="R97" s="2" t="inlineStr"/>
      <c r="S97" s="2" t="inlineStr"/>
      <c r="T97" s="2" t="inlineStr"/>
      <c r="U97" s="2" t="inlineStr"/>
      <c r="V97" s="2" t="inlineStr"/>
      <c r="W97" s="2" t="inlineStr"/>
      <c r="X97" s="2" t="inlineStr"/>
      <c r="Y97" s="2" t="n"/>
      <c r="Z97" s="2" t="inlineStr"/>
      <c r="AA97" s="2" t="inlineStr"/>
      <c r="AB97" s="2" t="inlineStr"/>
      <c r="AC97" s="2" t="n"/>
      <c r="AD97" s="2" t="n"/>
      <c r="AE97" s="2" t="inlineStr"/>
      <c r="AF97" s="2" t="inlineStr"/>
      <c r="AG97" s="2" t="inlineStr"/>
      <c r="AH97" s="2" t="inlineStr"/>
      <c r="AI97" s="2" t="inlineStr"/>
      <c r="AJ97" s="2" t="inlineStr"/>
      <c r="AK97" s="2" t="inlineStr"/>
      <c r="AL97" s="2" t="inlineStr"/>
      <c r="AM97" s="2" t="inlineStr"/>
      <c r="AN97" s="2" t="inlineStr"/>
      <c r="AO97" s="2" t="inlineStr">
        <is>
          <t>High</t>
        </is>
      </c>
      <c r="AP97" s="2" t="inlineStr"/>
      <c r="AQ97" s="2" t="inlineStr"/>
      <c r="AR97" s="2" t="inlineStr"/>
      <c r="AS97" s="2" t="inlineStr">
        <is>
          <t>Verified HD facility</t>
        </is>
      </c>
      <c r="AT97" s="2" t="inlineStr">
        <is>
          <t>Tier_2</t>
        </is>
      </c>
      <c r="AU97" s="2" t="inlineStr">
        <is>
          <t>OBSERVED</t>
        </is>
      </c>
      <c r="AV97" s="2" t="inlineStr">
        <is>
          <t>Very High</t>
        </is>
      </c>
      <c r="AW97" s="2" t="inlineStr">
        <is>
          <t>SRC-WEB-047</t>
        </is>
      </c>
      <c r="AX97" s="2" t="inlineStr">
        <is>
          <t>https://pmc.ncbi.nlm.nih.gov/articles/PMC11972488/</t>
        </is>
      </c>
      <c r="AY97" s="2" t="inlineStr">
        <is>
          <t>Peer-reviewed Lebanese HD cohort/trial identified the hospital as a participating HD site; ownership not inferred.</t>
        </is>
      </c>
      <c r="AZ97" s="2" t="inlineStr">
        <is>
          <t>SOURCE-VERIFIED HD SERVICE; CURRENT STATUS SHOULD BE RECHECKED WHERE SOURCE IS HISTORICAL</t>
        </is>
      </c>
      <c r="BA97" s="2" t="inlineStr">
        <is>
          <t>2026-08-10</t>
        </is>
      </c>
      <c r="BB97" s="2" t="inlineStr">
        <is>
          <t>ANALYST_SCENARIO</t>
        </is>
      </c>
      <c r="BC97" s="2" t="inlineStr">
        <is>
          <t>Analyst prioritization based on verified HD service; not observed market share.</t>
        </is>
      </c>
    </row>
    <row r="98">
      <c r="A98" s="2" t="inlineStr">
        <is>
          <t>LBN-F023</t>
        </is>
      </c>
      <c r="B98" s="2" t="inlineStr">
        <is>
          <t>Lebanon</t>
        </is>
      </c>
      <c r="C98" s="2" t="inlineStr">
        <is>
          <t>LBN</t>
        </is>
      </c>
      <c r="D98" s="2" t="inlineStr">
        <is>
          <t>Ain Wazein Medical Village</t>
        </is>
      </c>
      <c r="E98" s="2" t="inlineStr">
        <is>
          <t>Hospital_Dialysis_Unit</t>
        </is>
      </c>
      <c r="F98" s="2" t="inlineStr">
        <is>
          <t>Hospital-based HD</t>
        </is>
      </c>
      <c r="G98" s="2" t="inlineStr">
        <is>
          <t>Chouf</t>
        </is>
      </c>
      <c r="H98" s="2" t="inlineStr">
        <is>
          <t>Mount Lebanon</t>
        </is>
      </c>
      <c r="I98" s="2" t="inlineStr">
        <is>
          <t>Mount Lebanon</t>
        </is>
      </c>
      <c r="J98" s="2" t="inlineStr"/>
      <c r="K98" s="2" t="inlineStr"/>
      <c r="L98" s="2" t="inlineStr"/>
      <c r="M98" s="2" t="inlineStr"/>
      <c r="N98" s="2" t="inlineStr"/>
      <c r="O98" s="2" t="inlineStr">
        <is>
          <t>Unknown</t>
        </is>
      </c>
      <c r="P98" s="2" t="inlineStr">
        <is>
          <t>Unknown</t>
        </is>
      </c>
      <c r="Q98" s="2" t="inlineStr">
        <is>
          <t>Yes</t>
        </is>
      </c>
      <c r="R98" s="2" t="inlineStr"/>
      <c r="S98" s="2" t="inlineStr"/>
      <c r="T98" s="2" t="inlineStr"/>
      <c r="U98" s="2" t="inlineStr"/>
      <c r="V98" s="2" t="inlineStr"/>
      <c r="W98" s="2" t="inlineStr"/>
      <c r="X98" s="2" t="inlineStr"/>
      <c r="Y98" s="2" t="n"/>
      <c r="Z98" s="2" t="inlineStr"/>
      <c r="AA98" s="2" t="inlineStr"/>
      <c r="AB98" s="2" t="inlineStr"/>
      <c r="AC98" s="2" t="n"/>
      <c r="AD98" s="2" t="n"/>
      <c r="AE98" s="2" t="inlineStr"/>
      <c r="AF98" s="2" t="inlineStr"/>
      <c r="AG98" s="2" t="inlineStr"/>
      <c r="AH98" s="2" t="inlineStr"/>
      <c r="AI98" s="2" t="inlineStr"/>
      <c r="AJ98" s="2" t="inlineStr"/>
      <c r="AK98" s="2" t="inlineStr"/>
      <c r="AL98" s="2" t="inlineStr"/>
      <c r="AM98" s="2" t="inlineStr"/>
      <c r="AN98" s="2" t="inlineStr"/>
      <c r="AO98" s="2" t="inlineStr">
        <is>
          <t>High</t>
        </is>
      </c>
      <c r="AP98" s="2" t="inlineStr"/>
      <c r="AQ98" s="2" t="inlineStr"/>
      <c r="AR98" s="2" t="inlineStr"/>
      <c r="AS98" s="2" t="inlineStr">
        <is>
          <t>Verified HD facility</t>
        </is>
      </c>
      <c r="AT98" s="2" t="inlineStr">
        <is>
          <t>Tier_2</t>
        </is>
      </c>
      <c r="AU98" s="2" t="inlineStr">
        <is>
          <t>OBSERVED</t>
        </is>
      </c>
      <c r="AV98" s="2" t="inlineStr">
        <is>
          <t>Very High</t>
        </is>
      </c>
      <c r="AW98" s="2" t="inlineStr">
        <is>
          <t>SRC-WEB-047</t>
        </is>
      </c>
      <c r="AX98" s="2" t="inlineStr">
        <is>
          <t>https://pmc.ncbi.nlm.nih.gov/articles/PMC11972488/</t>
        </is>
      </c>
      <c r="AY98" s="2" t="inlineStr">
        <is>
          <t>Peer-reviewed Lebanese HD cohort/trial identified the hospital as a participating HD site; ownership not inferred.</t>
        </is>
      </c>
      <c r="AZ98" s="2" t="inlineStr">
        <is>
          <t>SOURCE-VERIFIED HD SERVICE; CURRENT STATUS SHOULD BE RECHECKED WHERE SOURCE IS HISTORICAL</t>
        </is>
      </c>
      <c r="BA98" s="2" t="inlineStr">
        <is>
          <t>2026-08-10</t>
        </is>
      </c>
      <c r="BB98" s="2" t="inlineStr">
        <is>
          <t>ANALYST_SCENARIO</t>
        </is>
      </c>
      <c r="BC98" s="2" t="inlineStr">
        <is>
          <t>Analyst prioritization based on verified HD service; not observed market share.</t>
        </is>
      </c>
    </row>
    <row r="99">
      <c r="A99" s="2" t="inlineStr">
        <is>
          <t>LBN-F024</t>
        </is>
      </c>
      <c r="B99" s="2" t="inlineStr">
        <is>
          <t>Lebanon</t>
        </is>
      </c>
      <c r="C99" s="2" t="inlineStr">
        <is>
          <t>LBN</t>
        </is>
      </c>
      <c r="D99" s="2" t="inlineStr">
        <is>
          <t>Bhannes Hospital</t>
        </is>
      </c>
      <c r="E99" s="2" t="inlineStr">
        <is>
          <t>Hospital_Dialysis_Unit</t>
        </is>
      </c>
      <c r="F99" s="2" t="inlineStr">
        <is>
          <t>Hospital-based HD</t>
        </is>
      </c>
      <c r="G99" s="2" t="inlineStr">
        <is>
          <t>Bhannes</t>
        </is>
      </c>
      <c r="H99" s="2" t="inlineStr">
        <is>
          <t>Mount Lebanon</t>
        </is>
      </c>
      <c r="I99" s="2" t="inlineStr">
        <is>
          <t>Mount Lebanon</t>
        </is>
      </c>
      <c r="J99" s="2" t="inlineStr"/>
      <c r="K99" s="2" t="inlineStr"/>
      <c r="L99" s="2" t="inlineStr"/>
      <c r="M99" s="2" t="inlineStr"/>
      <c r="N99" s="2" t="inlineStr"/>
      <c r="O99" s="2" t="inlineStr">
        <is>
          <t>Unknown</t>
        </is>
      </c>
      <c r="P99" s="2" t="inlineStr">
        <is>
          <t>Unknown</t>
        </is>
      </c>
      <c r="Q99" s="2" t="inlineStr">
        <is>
          <t>Yes</t>
        </is>
      </c>
      <c r="R99" s="2" t="inlineStr"/>
      <c r="S99" s="2" t="inlineStr"/>
      <c r="T99" s="2" t="inlineStr"/>
      <c r="U99" s="2" t="inlineStr"/>
      <c r="V99" s="2" t="inlineStr"/>
      <c r="W99" s="2" t="inlineStr"/>
      <c r="X99" s="2" t="inlineStr"/>
      <c r="Y99" s="2" t="n"/>
      <c r="Z99" s="2" t="inlineStr"/>
      <c r="AA99" s="2" t="inlineStr"/>
      <c r="AB99" s="2" t="inlineStr"/>
      <c r="AC99" s="2" t="n"/>
      <c r="AD99" s="2" t="n"/>
      <c r="AE99" s="2" t="inlineStr"/>
      <c r="AF99" s="2" t="inlineStr"/>
      <c r="AG99" s="2" t="inlineStr"/>
      <c r="AH99" s="2" t="inlineStr"/>
      <c r="AI99" s="2" t="inlineStr"/>
      <c r="AJ99" s="2" t="inlineStr"/>
      <c r="AK99" s="2" t="inlineStr"/>
      <c r="AL99" s="2" t="inlineStr"/>
      <c r="AM99" s="2" t="inlineStr"/>
      <c r="AN99" s="2" t="inlineStr"/>
      <c r="AO99" s="2" t="inlineStr">
        <is>
          <t>High</t>
        </is>
      </c>
      <c r="AP99" s="2" t="inlineStr"/>
      <c r="AQ99" s="2" t="inlineStr"/>
      <c r="AR99" s="2" t="inlineStr"/>
      <c r="AS99" s="2" t="inlineStr">
        <is>
          <t>Verified HD facility</t>
        </is>
      </c>
      <c r="AT99" s="2" t="inlineStr">
        <is>
          <t>Tier_2</t>
        </is>
      </c>
      <c r="AU99" s="2" t="inlineStr">
        <is>
          <t>OBSERVED</t>
        </is>
      </c>
      <c r="AV99" s="2" t="inlineStr">
        <is>
          <t>Very High</t>
        </is>
      </c>
      <c r="AW99" s="2" t="inlineStr">
        <is>
          <t>SRC-WEB-047</t>
        </is>
      </c>
      <c r="AX99" s="2" t="inlineStr">
        <is>
          <t>https://pmc.ncbi.nlm.nih.gov/articles/PMC11972488/</t>
        </is>
      </c>
      <c r="AY99" s="2" t="inlineStr">
        <is>
          <t>Peer-reviewed Lebanese HD cohort/trial identified the hospital as a participating HD site; ownership not inferred.</t>
        </is>
      </c>
      <c r="AZ99" s="2" t="inlineStr">
        <is>
          <t>SOURCE-VERIFIED HD SERVICE; CURRENT STATUS SHOULD BE RECHECKED WHERE SOURCE IS HISTORICAL</t>
        </is>
      </c>
      <c r="BA99" s="2" t="inlineStr">
        <is>
          <t>2026-08-10</t>
        </is>
      </c>
      <c r="BB99" s="2" t="inlineStr">
        <is>
          <t>ANALYST_SCENARIO</t>
        </is>
      </c>
      <c r="BC99" s="2" t="inlineStr">
        <is>
          <t>Analyst prioritization based on verified HD service; not observed market share.</t>
        </is>
      </c>
    </row>
    <row r="100">
      <c r="A100" s="2" t="inlineStr">
        <is>
          <t>LBN-F025</t>
        </is>
      </c>
      <c r="B100" s="2" t="inlineStr">
        <is>
          <t>Lebanon</t>
        </is>
      </c>
      <c r="C100" s="2" t="inlineStr">
        <is>
          <t>LBN</t>
        </is>
      </c>
      <c r="D100" s="2" t="inlineStr">
        <is>
          <t>Saint George Hospital University Medical Center</t>
        </is>
      </c>
      <c r="E100" s="2" t="inlineStr">
        <is>
          <t>Hospital_Dialysis_Unit</t>
        </is>
      </c>
      <c r="F100" s="2" t="inlineStr">
        <is>
          <t>Hospital-based HD</t>
        </is>
      </c>
      <c r="G100" s="2" t="inlineStr">
        <is>
          <t>Beirut</t>
        </is>
      </c>
      <c r="H100" s="2" t="inlineStr">
        <is>
          <t>Beirut</t>
        </is>
      </c>
      <c r="I100" s="2" t="inlineStr">
        <is>
          <t>Beirut</t>
        </is>
      </c>
      <c r="J100" s="2" t="inlineStr"/>
      <c r="K100" s="2" t="inlineStr"/>
      <c r="L100" s="2" t="inlineStr"/>
      <c r="M100" s="2" t="inlineStr"/>
      <c r="N100" s="2" t="inlineStr"/>
      <c r="O100" s="2" t="inlineStr">
        <is>
          <t>Unknown</t>
        </is>
      </c>
      <c r="P100" s="2" t="inlineStr">
        <is>
          <t>Unknown</t>
        </is>
      </c>
      <c r="Q100" s="2" t="inlineStr">
        <is>
          <t>Yes</t>
        </is>
      </c>
      <c r="R100" s="2" t="inlineStr"/>
      <c r="S100" s="2" t="inlineStr"/>
      <c r="T100" s="2" t="inlineStr"/>
      <c r="U100" s="2" t="inlineStr"/>
      <c r="V100" s="2" t="inlineStr"/>
      <c r="W100" s="2" t="inlineStr"/>
      <c r="X100" s="2" t="inlineStr"/>
      <c r="Y100" s="2" t="n"/>
      <c r="Z100" s="2" t="inlineStr"/>
      <c r="AA100" s="2" t="inlineStr"/>
      <c r="AB100" s="2" t="inlineStr"/>
      <c r="AC100" s="2" t="n"/>
      <c r="AD100" s="2" t="n"/>
      <c r="AE100" s="2" t="inlineStr"/>
      <c r="AF100" s="2" t="inlineStr"/>
      <c r="AG100" s="2" t="inlineStr"/>
      <c r="AH100" s="2" t="inlineStr"/>
      <c r="AI100" s="2" t="inlineStr"/>
      <c r="AJ100" s="2" t="inlineStr"/>
      <c r="AK100" s="2" t="inlineStr"/>
      <c r="AL100" s="2" t="inlineStr"/>
      <c r="AM100" s="2" t="inlineStr"/>
      <c r="AN100" s="2" t="inlineStr"/>
      <c r="AO100" s="2" t="inlineStr">
        <is>
          <t>High</t>
        </is>
      </c>
      <c r="AP100" s="2" t="inlineStr"/>
      <c r="AQ100" s="2" t="inlineStr"/>
      <c r="AR100" s="2" t="inlineStr"/>
      <c r="AS100" s="2" t="inlineStr">
        <is>
          <t>Verified HD facility</t>
        </is>
      </c>
      <c r="AT100" s="2" t="inlineStr">
        <is>
          <t>Tier_1</t>
        </is>
      </c>
      <c r="AU100" s="2" t="inlineStr">
        <is>
          <t>OBSERVED</t>
        </is>
      </c>
      <c r="AV100" s="2" t="inlineStr">
        <is>
          <t>Very High</t>
        </is>
      </c>
      <c r="AW100" s="2" t="inlineStr">
        <is>
          <t>SRC-WEB-047</t>
        </is>
      </c>
      <c r="AX100" s="2" t="inlineStr">
        <is>
          <t>https://pmc.ncbi.nlm.nih.gov/articles/PMC11972488/</t>
        </is>
      </c>
      <c r="AY100" s="2" t="inlineStr">
        <is>
          <t>Peer-reviewed Lebanese HD cohort/trial identified the hospital as a participating HD site; ownership not inferred.</t>
        </is>
      </c>
      <c r="AZ100" s="2" t="inlineStr">
        <is>
          <t>SOURCE-VERIFIED HD SERVICE; CURRENT STATUS SHOULD BE RECHECKED WHERE SOURCE IS HISTORICAL</t>
        </is>
      </c>
      <c r="BA100" s="2" t="inlineStr">
        <is>
          <t>2026-08-10</t>
        </is>
      </c>
      <c r="BB100" s="2" t="inlineStr">
        <is>
          <t>ANALYST_SCENARIO</t>
        </is>
      </c>
      <c r="BC100" s="2" t="inlineStr">
        <is>
          <t>Analyst prioritization based on verified HD service; not observed market share.</t>
        </is>
      </c>
    </row>
    <row r="101">
      <c r="A101" s="2" t="inlineStr">
        <is>
          <t>IRQ-F001</t>
        </is>
      </c>
      <c r="B101" s="2" t="inlineStr">
        <is>
          <t>Iraq</t>
        </is>
      </c>
      <c r="C101" s="2" t="inlineStr">
        <is>
          <t>IRQ</t>
        </is>
      </c>
      <c r="D101" s="2" t="inlineStr">
        <is>
          <t>Al-Kindy Teaching Hospital</t>
        </is>
      </c>
      <c r="E101" s="2" t="inlineStr">
        <is>
          <t>Hospital_Dialysis_Unit</t>
        </is>
      </c>
      <c r="F101" s="2" t="inlineStr">
        <is>
          <t>Hospital-based HD</t>
        </is>
      </c>
      <c r="G101" s="2" t="inlineStr">
        <is>
          <t>Baghdad</t>
        </is>
      </c>
      <c r="H101" s="2" t="inlineStr">
        <is>
          <t>Baghdad</t>
        </is>
      </c>
      <c r="I101" s="2" t="inlineStr">
        <is>
          <t>Baghdad</t>
        </is>
      </c>
      <c r="J101" s="2" t="inlineStr"/>
      <c r="K101" s="2" t="inlineStr"/>
      <c r="L101" s="2" t="inlineStr"/>
      <c r="M101" s="2" t="inlineStr"/>
      <c r="N101" s="2" t="inlineStr"/>
      <c r="O101" s="2" t="inlineStr">
        <is>
          <t>Unknown</t>
        </is>
      </c>
      <c r="P101" s="2" t="inlineStr">
        <is>
          <t>Unknown</t>
        </is>
      </c>
      <c r="Q101" s="2" t="inlineStr">
        <is>
          <t>Yes</t>
        </is>
      </c>
      <c r="R101" s="2" t="inlineStr"/>
      <c r="S101" s="2" t="inlineStr"/>
      <c r="T101" s="2" t="inlineStr"/>
      <c r="U101" s="2" t="inlineStr"/>
      <c r="V101" s="2" t="inlineStr"/>
      <c r="W101" s="2" t="inlineStr"/>
      <c r="X101" s="2" t="inlineStr"/>
      <c r="Y101" s="2" t="n"/>
      <c r="Z101" s="2" t="inlineStr"/>
      <c r="AA101" s="2" t="inlineStr"/>
      <c r="AB101" s="2" t="inlineStr"/>
      <c r="AC101" s="2" t="n"/>
      <c r="AD101" s="2" t="n"/>
      <c r="AE101" s="2" t="inlineStr"/>
      <c r="AF101" s="2" t="inlineStr"/>
      <c r="AG101" s="2" t="inlineStr"/>
      <c r="AH101" s="2" t="inlineStr"/>
      <c r="AI101" s="2" t="inlineStr"/>
      <c r="AJ101" s="2" t="inlineStr"/>
      <c r="AK101" s="2" t="inlineStr"/>
      <c r="AL101" s="2" t="inlineStr"/>
      <c r="AM101" s="2" t="inlineStr"/>
      <c r="AN101" s="2" t="inlineStr"/>
      <c r="AO101" s="2" t="inlineStr">
        <is>
          <t>High</t>
        </is>
      </c>
      <c r="AP101" s="2" t="inlineStr"/>
      <c r="AQ101" s="2" t="inlineStr"/>
      <c r="AR101" s="2" t="inlineStr"/>
      <c r="AS101" s="2" t="inlineStr">
        <is>
          <t>Verified HD facility</t>
        </is>
      </c>
      <c r="AT101" s="2" t="inlineStr">
        <is>
          <t>Tier_1</t>
        </is>
      </c>
      <c r="AU101" s="2" t="inlineStr">
        <is>
          <t>OBSERVED</t>
        </is>
      </c>
      <c r="AV101" s="2" t="inlineStr">
        <is>
          <t>Very High</t>
        </is>
      </c>
      <c r="AW101" s="2" t="inlineStr">
        <is>
          <t>SRC-WEB-051</t>
        </is>
      </c>
      <c r="AX101" s="2" t="inlineStr">
        <is>
          <t>https://pubmed.ncbi.nlm.nih.gov/21422648/</t>
        </is>
      </c>
      <c r="AY101" s="2" t="inlineStr">
        <is>
          <t>Named in peer-reviewed Iraqi HD literature; ownership not inferred.</t>
        </is>
      </c>
      <c r="AZ101" s="2" t="inlineStr">
        <is>
          <t>SOURCE-VERIFIED HD SERVICE; CURRENT STATUS SHOULD BE RECHECKED WHERE SOURCE IS HISTORICAL</t>
        </is>
      </c>
      <c r="BA101" s="2" t="inlineStr">
        <is>
          <t>2026-08-10</t>
        </is>
      </c>
      <c r="BB101" s="2" t="inlineStr">
        <is>
          <t>ANALYST_SCENARIO</t>
        </is>
      </c>
      <c r="BC101" s="2" t="inlineStr">
        <is>
          <t>Analyst prioritization based on verified HD service; not observed market share.</t>
        </is>
      </c>
    </row>
    <row r="102">
      <c r="A102" s="2" t="inlineStr">
        <is>
          <t>IRQ-F002</t>
        </is>
      </c>
      <c r="B102" s="2" t="inlineStr">
        <is>
          <t>Iraq</t>
        </is>
      </c>
      <c r="C102" s="2" t="inlineStr">
        <is>
          <t>IRQ</t>
        </is>
      </c>
      <c r="D102" s="2" t="inlineStr">
        <is>
          <t>Baghdad Teaching Hospital - Medical City</t>
        </is>
      </c>
      <c r="E102" s="2" t="inlineStr">
        <is>
          <t>Hospital_Dialysis_Unit</t>
        </is>
      </c>
      <c r="F102" s="2" t="inlineStr">
        <is>
          <t>Hospital-based HD</t>
        </is>
      </c>
      <c r="G102" s="2" t="inlineStr">
        <is>
          <t>Baghdad</t>
        </is>
      </c>
      <c r="H102" s="2" t="inlineStr">
        <is>
          <t>Baghdad</t>
        </is>
      </c>
      <c r="I102" s="2" t="inlineStr">
        <is>
          <t>Baghdad</t>
        </is>
      </c>
      <c r="J102" s="2" t="inlineStr"/>
      <c r="K102" s="2" t="inlineStr"/>
      <c r="L102" s="2" t="inlineStr"/>
      <c r="M102" s="2" t="inlineStr"/>
      <c r="N102" s="2" t="inlineStr"/>
      <c r="O102" s="2" t="inlineStr">
        <is>
          <t>Unknown</t>
        </is>
      </c>
      <c r="P102" s="2" t="inlineStr">
        <is>
          <t>Unknown</t>
        </is>
      </c>
      <c r="Q102" s="2" t="inlineStr">
        <is>
          <t>Yes</t>
        </is>
      </c>
      <c r="R102" s="2" t="inlineStr"/>
      <c r="S102" s="2" t="inlineStr"/>
      <c r="T102" s="2" t="inlineStr"/>
      <c r="U102" s="2" t="inlineStr"/>
      <c r="V102" s="2" t="inlineStr"/>
      <c r="W102" s="2" t="inlineStr"/>
      <c r="X102" s="2" t="inlineStr"/>
      <c r="Y102" s="2" t="n"/>
      <c r="Z102" s="2" t="inlineStr"/>
      <c r="AA102" s="2" t="inlineStr"/>
      <c r="AB102" s="2" t="inlineStr"/>
      <c r="AC102" s="2" t="n"/>
      <c r="AD102" s="2" t="n"/>
      <c r="AE102" s="2" t="inlineStr"/>
      <c r="AF102" s="2" t="inlineStr"/>
      <c r="AG102" s="2" t="inlineStr"/>
      <c r="AH102" s="2" t="inlineStr"/>
      <c r="AI102" s="2" t="inlineStr"/>
      <c r="AJ102" s="2" t="inlineStr"/>
      <c r="AK102" s="2" t="inlineStr"/>
      <c r="AL102" s="2" t="inlineStr"/>
      <c r="AM102" s="2" t="inlineStr"/>
      <c r="AN102" s="2" t="inlineStr"/>
      <c r="AO102" s="2" t="inlineStr">
        <is>
          <t>High</t>
        </is>
      </c>
      <c r="AP102" s="2" t="inlineStr"/>
      <c r="AQ102" s="2" t="inlineStr"/>
      <c r="AR102" s="2" t="inlineStr"/>
      <c r="AS102" s="2" t="inlineStr">
        <is>
          <t>Verified HD facility</t>
        </is>
      </c>
      <c r="AT102" s="2" t="inlineStr">
        <is>
          <t>Tier_1</t>
        </is>
      </c>
      <c r="AU102" s="2" t="inlineStr">
        <is>
          <t>OBSERVED</t>
        </is>
      </c>
      <c r="AV102" s="2" t="inlineStr">
        <is>
          <t>Very High</t>
        </is>
      </c>
      <c r="AW102" s="2" t="inlineStr">
        <is>
          <t>SRC-WEB-050</t>
        </is>
      </c>
      <c r="AX102" s="2" t="inlineStr">
        <is>
          <t>https://iqnjm.com/index.php/homepage/article/view/187</t>
        </is>
      </c>
      <c r="AY102" s="2" t="inlineStr">
        <is>
          <t>Named in peer-reviewed Iraqi HD literature; ownership not inferred.</t>
        </is>
      </c>
      <c r="AZ102" s="2" t="inlineStr">
        <is>
          <t>SOURCE-VERIFIED HD SERVICE; CURRENT STATUS SHOULD BE RECHECKED WHERE SOURCE IS HISTORICAL</t>
        </is>
      </c>
      <c r="BA102" s="2" t="inlineStr">
        <is>
          <t>2026-08-10</t>
        </is>
      </c>
      <c r="BB102" s="2" t="inlineStr">
        <is>
          <t>ANALYST_SCENARIO</t>
        </is>
      </c>
      <c r="BC102" s="2" t="inlineStr">
        <is>
          <t>Analyst prioritization based on verified HD service; not observed market share.</t>
        </is>
      </c>
    </row>
    <row r="103">
      <c r="A103" s="2" t="inlineStr">
        <is>
          <t>IRQ-F003</t>
        </is>
      </c>
      <c r="B103" s="2" t="inlineStr">
        <is>
          <t>Iraq</t>
        </is>
      </c>
      <c r="C103" s="2" t="inlineStr">
        <is>
          <t>IRQ</t>
        </is>
      </c>
      <c r="D103" s="2" t="inlineStr">
        <is>
          <t>Alnuman Teaching Hospital</t>
        </is>
      </c>
      <c r="E103" s="2" t="inlineStr">
        <is>
          <t>Hospital_Dialysis_Unit</t>
        </is>
      </c>
      <c r="F103" s="2" t="inlineStr">
        <is>
          <t>Hospital-based HD</t>
        </is>
      </c>
      <c r="G103" s="2" t="inlineStr">
        <is>
          <t>Baghdad</t>
        </is>
      </c>
      <c r="H103" s="2" t="inlineStr">
        <is>
          <t>Baghdad</t>
        </is>
      </c>
      <c r="I103" s="2" t="inlineStr">
        <is>
          <t>Baghdad</t>
        </is>
      </c>
      <c r="J103" s="2" t="inlineStr"/>
      <c r="K103" s="2" t="inlineStr"/>
      <c r="L103" s="2" t="inlineStr"/>
      <c r="M103" s="2" t="inlineStr"/>
      <c r="N103" s="2" t="inlineStr"/>
      <c r="O103" s="2" t="inlineStr">
        <is>
          <t>Unknown</t>
        </is>
      </c>
      <c r="P103" s="2" t="inlineStr">
        <is>
          <t>Unknown</t>
        </is>
      </c>
      <c r="Q103" s="2" t="inlineStr">
        <is>
          <t>Yes</t>
        </is>
      </c>
      <c r="R103" s="2" t="inlineStr"/>
      <c r="S103" s="2" t="inlineStr"/>
      <c r="T103" s="2" t="inlineStr"/>
      <c r="U103" s="2" t="inlineStr"/>
      <c r="V103" s="2" t="inlineStr"/>
      <c r="W103" s="2" t="inlineStr"/>
      <c r="X103" s="2" t="inlineStr"/>
      <c r="Y103" s="2" t="n"/>
      <c r="Z103" s="2" t="inlineStr"/>
      <c r="AA103" s="2" t="inlineStr"/>
      <c r="AB103" s="2" t="inlineStr"/>
      <c r="AC103" s="2" t="n"/>
      <c r="AD103" s="2" t="n"/>
      <c r="AE103" s="2" t="inlineStr"/>
      <c r="AF103" s="2" t="inlineStr"/>
      <c r="AG103" s="2" t="inlineStr"/>
      <c r="AH103" s="2" t="inlineStr"/>
      <c r="AI103" s="2" t="inlineStr"/>
      <c r="AJ103" s="2" t="inlineStr"/>
      <c r="AK103" s="2" t="inlineStr"/>
      <c r="AL103" s="2" t="inlineStr"/>
      <c r="AM103" s="2" t="inlineStr"/>
      <c r="AN103" s="2" t="inlineStr"/>
      <c r="AO103" s="2" t="inlineStr">
        <is>
          <t>High</t>
        </is>
      </c>
      <c r="AP103" s="2" t="inlineStr"/>
      <c r="AQ103" s="2" t="inlineStr"/>
      <c r="AR103" s="2" t="inlineStr"/>
      <c r="AS103" s="2" t="inlineStr">
        <is>
          <t>Verified HD facility</t>
        </is>
      </c>
      <c r="AT103" s="2" t="inlineStr">
        <is>
          <t>Tier_1</t>
        </is>
      </c>
      <c r="AU103" s="2" t="inlineStr">
        <is>
          <t>OBSERVED</t>
        </is>
      </c>
      <c r="AV103" s="2" t="inlineStr">
        <is>
          <t>Very High</t>
        </is>
      </c>
      <c r="AW103" s="2" t="inlineStr">
        <is>
          <t>SRC-WEB-050;SRC-WEB-051</t>
        </is>
      </c>
      <c r="AX103" s="2" t="inlineStr">
        <is>
          <t>https://iqnjm.com/index.php/homepage/article/view/187;https://pubmed.ncbi.nlm.nih.gov/21422648/</t>
        </is>
      </c>
      <c r="AY103" s="2" t="inlineStr">
        <is>
          <t>Named in peer-reviewed Iraqi HD literature; ownership not inferred.</t>
        </is>
      </c>
      <c r="AZ103" s="2" t="inlineStr">
        <is>
          <t>SOURCE-VERIFIED HD SERVICE; CURRENT STATUS SHOULD BE RECHECKED WHERE SOURCE IS HISTORICAL</t>
        </is>
      </c>
      <c r="BA103" s="2" t="inlineStr">
        <is>
          <t>2026-08-10</t>
        </is>
      </c>
      <c r="BB103" s="2" t="inlineStr">
        <is>
          <t>ANALYST_SCENARIO</t>
        </is>
      </c>
      <c r="BC103" s="2" t="inlineStr">
        <is>
          <t>Analyst prioritization based on verified HD service; not observed market share.</t>
        </is>
      </c>
    </row>
    <row r="104">
      <c r="A104" s="2" t="inlineStr">
        <is>
          <t>IRQ-F004</t>
        </is>
      </c>
      <c r="B104" s="2" t="inlineStr">
        <is>
          <t>Iraq</t>
        </is>
      </c>
      <c r="C104" s="2" t="inlineStr">
        <is>
          <t>IRQ</t>
        </is>
      </c>
      <c r="D104" s="2" t="inlineStr">
        <is>
          <t>Child Welfare Teaching Hospital</t>
        </is>
      </c>
      <c r="E104" s="2" t="inlineStr">
        <is>
          <t>Hospital_Dialysis_Unit</t>
        </is>
      </c>
      <c r="F104" s="2" t="inlineStr">
        <is>
          <t>Hospital-based HD</t>
        </is>
      </c>
      <c r="G104" s="2" t="inlineStr">
        <is>
          <t>Baghdad</t>
        </is>
      </c>
      <c r="H104" s="2" t="inlineStr">
        <is>
          <t>Baghdad</t>
        </is>
      </c>
      <c r="I104" s="2" t="inlineStr">
        <is>
          <t>Baghdad</t>
        </is>
      </c>
      <c r="J104" s="2" t="inlineStr"/>
      <c r="K104" s="2" t="inlineStr"/>
      <c r="L104" s="2" t="inlineStr"/>
      <c r="M104" s="2" t="inlineStr"/>
      <c r="N104" s="2" t="inlineStr"/>
      <c r="O104" s="2" t="inlineStr">
        <is>
          <t>Unknown</t>
        </is>
      </c>
      <c r="P104" s="2" t="inlineStr">
        <is>
          <t>Unknown</t>
        </is>
      </c>
      <c r="Q104" s="2" t="inlineStr">
        <is>
          <t>Yes</t>
        </is>
      </c>
      <c r="R104" s="2" t="inlineStr"/>
      <c r="S104" s="2" t="inlineStr"/>
      <c r="T104" s="2" t="inlineStr"/>
      <c r="U104" s="2" t="inlineStr"/>
      <c r="V104" s="2" t="inlineStr"/>
      <c r="W104" s="2" t="inlineStr"/>
      <c r="X104" s="2" t="inlineStr"/>
      <c r="Y104" s="2" t="n"/>
      <c r="Z104" s="2" t="inlineStr"/>
      <c r="AA104" s="2" t="inlineStr"/>
      <c r="AB104" s="2" t="inlineStr"/>
      <c r="AC104" s="2" t="n"/>
      <c r="AD104" s="2" t="n"/>
      <c r="AE104" s="2" t="inlineStr"/>
      <c r="AF104" s="2" t="inlineStr"/>
      <c r="AG104" s="2" t="inlineStr"/>
      <c r="AH104" s="2" t="inlineStr"/>
      <c r="AI104" s="2" t="inlineStr"/>
      <c r="AJ104" s="2" t="inlineStr"/>
      <c r="AK104" s="2" t="inlineStr"/>
      <c r="AL104" s="2" t="inlineStr"/>
      <c r="AM104" s="2" t="inlineStr"/>
      <c r="AN104" s="2" t="inlineStr"/>
      <c r="AO104" s="2" t="inlineStr">
        <is>
          <t>High</t>
        </is>
      </c>
      <c r="AP104" s="2" t="inlineStr"/>
      <c r="AQ104" s="2" t="inlineStr"/>
      <c r="AR104" s="2" t="inlineStr"/>
      <c r="AS104" s="2" t="inlineStr">
        <is>
          <t>Verified HD facility</t>
        </is>
      </c>
      <c r="AT104" s="2" t="inlineStr">
        <is>
          <t>Tier_1</t>
        </is>
      </c>
      <c r="AU104" s="2" t="inlineStr">
        <is>
          <t>OBSERVED</t>
        </is>
      </c>
      <c r="AV104" s="2" t="inlineStr">
        <is>
          <t>Very High</t>
        </is>
      </c>
      <c r="AW104" s="2" t="inlineStr">
        <is>
          <t>SRC-WEB-050</t>
        </is>
      </c>
      <c r="AX104" s="2" t="inlineStr">
        <is>
          <t>https://iqnjm.com/index.php/homepage/article/view/187</t>
        </is>
      </c>
      <c r="AY104" s="2" t="inlineStr">
        <is>
          <t>Named in peer-reviewed Iraqi HD literature; ownership not inferred.</t>
        </is>
      </c>
      <c r="AZ104" s="2" t="inlineStr">
        <is>
          <t>SOURCE-VERIFIED HD SERVICE; CURRENT STATUS SHOULD BE RECHECKED WHERE SOURCE IS HISTORICAL</t>
        </is>
      </c>
      <c r="BA104" s="2" t="inlineStr">
        <is>
          <t>2026-08-10</t>
        </is>
      </c>
      <c r="BB104" s="2" t="inlineStr">
        <is>
          <t>ANALYST_SCENARIO</t>
        </is>
      </c>
      <c r="BC104" s="2" t="inlineStr">
        <is>
          <t>Analyst prioritization based on verified HD service; not observed market share.</t>
        </is>
      </c>
    </row>
    <row r="105">
      <c r="A105" s="2" t="inlineStr">
        <is>
          <t>IRQ-F005</t>
        </is>
      </c>
      <c r="B105" s="2" t="inlineStr">
        <is>
          <t>Iraq</t>
        </is>
      </c>
      <c r="C105" s="2" t="inlineStr">
        <is>
          <t>IRQ</t>
        </is>
      </c>
      <c r="D105" s="2" t="inlineStr">
        <is>
          <t>University of Baghdad Nephrology and Renal Transplantation Center</t>
        </is>
      </c>
      <c r="E105" s="2" t="inlineStr">
        <is>
          <t>Hospital_Dialysis_Unit</t>
        </is>
      </c>
      <c r="F105" s="2" t="inlineStr">
        <is>
          <t>Hospital-based HD</t>
        </is>
      </c>
      <c r="G105" s="2" t="inlineStr">
        <is>
          <t>Baghdad</t>
        </is>
      </c>
      <c r="H105" s="2" t="inlineStr">
        <is>
          <t>Baghdad</t>
        </is>
      </c>
      <c r="I105" s="2" t="inlineStr">
        <is>
          <t>Baghdad</t>
        </is>
      </c>
      <c r="J105" s="2" t="inlineStr"/>
      <c r="K105" s="2" t="inlineStr"/>
      <c r="L105" s="2" t="inlineStr"/>
      <c r="M105" s="2" t="inlineStr"/>
      <c r="N105" s="2" t="inlineStr"/>
      <c r="O105" s="2" t="inlineStr">
        <is>
          <t>Unknown</t>
        </is>
      </c>
      <c r="P105" s="2" t="inlineStr">
        <is>
          <t>Unknown</t>
        </is>
      </c>
      <c r="Q105" s="2" t="inlineStr">
        <is>
          <t>Yes</t>
        </is>
      </c>
      <c r="R105" s="2" t="inlineStr"/>
      <c r="S105" s="2" t="inlineStr"/>
      <c r="T105" s="2" t="inlineStr"/>
      <c r="U105" s="2" t="inlineStr"/>
      <c r="V105" s="2" t="inlineStr"/>
      <c r="W105" s="2" t="inlineStr"/>
      <c r="X105" s="2" t="inlineStr"/>
      <c r="Y105" s="2" t="n"/>
      <c r="Z105" s="2" t="inlineStr"/>
      <c r="AA105" s="2" t="inlineStr"/>
      <c r="AB105" s="2" t="inlineStr"/>
      <c r="AC105" s="2" t="n"/>
      <c r="AD105" s="2" t="n"/>
      <c r="AE105" s="2" t="inlineStr"/>
      <c r="AF105" s="2" t="inlineStr"/>
      <c r="AG105" s="2" t="inlineStr"/>
      <c r="AH105" s="2" t="inlineStr"/>
      <c r="AI105" s="2" t="inlineStr"/>
      <c r="AJ105" s="2" t="inlineStr"/>
      <c r="AK105" s="2" t="inlineStr"/>
      <c r="AL105" s="2" t="inlineStr"/>
      <c r="AM105" s="2" t="inlineStr"/>
      <c r="AN105" s="2" t="inlineStr"/>
      <c r="AO105" s="2" t="inlineStr">
        <is>
          <t>High</t>
        </is>
      </c>
      <c r="AP105" s="2" t="inlineStr"/>
      <c r="AQ105" s="2" t="inlineStr"/>
      <c r="AR105" s="2" t="inlineStr"/>
      <c r="AS105" s="2" t="inlineStr">
        <is>
          <t>Verified HD facility</t>
        </is>
      </c>
      <c r="AT105" s="2" t="inlineStr">
        <is>
          <t>Tier_1</t>
        </is>
      </c>
      <c r="AU105" s="2" t="inlineStr">
        <is>
          <t>OBSERVED</t>
        </is>
      </c>
      <c r="AV105" s="2" t="inlineStr">
        <is>
          <t>Very High</t>
        </is>
      </c>
      <c r="AW105" s="2" t="inlineStr">
        <is>
          <t>SRC-WEB-050</t>
        </is>
      </c>
      <c r="AX105" s="2" t="inlineStr">
        <is>
          <t>https://iqnjm.com/index.php/homepage/article/view/187</t>
        </is>
      </c>
      <c r="AY105" s="2" t="inlineStr">
        <is>
          <t>Named in peer-reviewed Iraqi HD literature; ownership not inferred.</t>
        </is>
      </c>
      <c r="AZ105" s="2" t="inlineStr">
        <is>
          <t>SOURCE-VERIFIED HD SERVICE; CURRENT STATUS SHOULD BE RECHECKED WHERE SOURCE IS HISTORICAL</t>
        </is>
      </c>
      <c r="BA105" s="2" t="inlineStr">
        <is>
          <t>2026-08-10</t>
        </is>
      </c>
      <c r="BB105" s="2" t="inlineStr">
        <is>
          <t>ANALYST_SCENARIO</t>
        </is>
      </c>
      <c r="BC105" s="2" t="inlineStr">
        <is>
          <t>Analyst prioritization based on verified HD service; not observed market share.</t>
        </is>
      </c>
    </row>
  </sheetData>
  <autoFilter ref="A1:BC105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tabColor rgb="0070AD47"/>
    <outlinePr summaryBelow="1" summaryRight="1"/>
    <pageSetUpPr/>
  </sheetPr>
  <dimension ref="A1:T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  <col width="45" customWidth="1" min="12" max="12"/>
    <col width="45" customWidth="1" min="13" max="13"/>
    <col width="45" customWidth="1" min="14" max="14"/>
    <col width="45" customWidth="1" min="15" max="15"/>
    <col width="45" customWidth="1" min="16" max="16"/>
    <col width="45" customWidth="1" min="17" max="17"/>
    <col width="45" customWidth="1" min="18" max="18"/>
    <col width="25" customWidth="1" min="19" max="19"/>
    <col width="20" customWidth="1" min="20" max="20"/>
  </cols>
  <sheetData>
    <row r="1">
      <c r="A1" s="8" t="inlineStr">
        <is>
          <t>Country</t>
        </is>
      </c>
      <c r="B1" s="8" t="inlineStr">
        <is>
          <t>Total_Verified_HD_Facilities</t>
        </is>
      </c>
      <c r="C1" s="8" t="inlineStr">
        <is>
          <t>Hospitals_With_HD</t>
        </is>
      </c>
      <c r="D1" s="8" t="inlineStr">
        <is>
          <t>Standalone_Dialysis_Centers</t>
        </is>
      </c>
      <c r="E1" s="8" t="inlineStr">
        <is>
          <t>Satellite_Dialysis_Centers</t>
        </is>
      </c>
      <c r="F1" s="8" t="inlineStr">
        <is>
          <t>Hospital_Dialysis_Units</t>
        </is>
      </c>
      <c r="G1" s="8" t="inlineStr">
        <is>
          <t>Health_Centers_With_HD</t>
        </is>
      </c>
      <c r="H1" s="8" t="inlineStr">
        <is>
          <t>Kidney_Centers_With_HD</t>
        </is>
      </c>
      <c r="I1" s="8" t="inlineStr">
        <is>
          <t>Government_HD_Facilities</t>
        </is>
      </c>
      <c r="J1" s="8" t="inlineStr">
        <is>
          <t>Private_HD_Facilities</t>
        </is>
      </c>
      <c r="K1" s="8" t="inlineStr">
        <is>
          <t>Military_HD_Facilities</t>
        </is>
      </c>
      <c r="L1" s="8" t="inlineStr">
        <is>
          <t>University_HD_Facilities</t>
        </is>
      </c>
      <c r="M1" s="8" t="inlineStr">
        <is>
          <t>Other_HD_Facilities</t>
        </is>
      </c>
      <c r="N1" s="8" t="inlineStr">
        <is>
          <t>Facilities_With_Known_HD_Stations</t>
        </is>
      </c>
      <c r="O1" s="8" t="inlineStr">
        <is>
          <t>Total_Known_HD_Stations</t>
        </is>
      </c>
      <c r="P1" s="8" t="inlineStr">
        <is>
          <t>Tier_1_Commercial_Accounts</t>
        </is>
      </c>
      <c r="Q1" s="8" t="inlineStr">
        <is>
          <t>Tier_2_Commercial_Accounts</t>
        </is>
      </c>
      <c r="R1" s="8" t="inlineStr">
        <is>
          <t>Tier_3_Commercial_Accounts</t>
        </is>
      </c>
      <c r="S1" s="8" t="inlineStr">
        <is>
          <t>Verified_Facility_Count</t>
        </is>
      </c>
      <c r="T1" s="8" t="inlineStr">
        <is>
          <t>Coverage_Status</t>
        </is>
      </c>
    </row>
    <row r="2">
      <c r="A2" s="2" t="inlineStr">
        <is>
          <t>Saudi Arabia</t>
        </is>
      </c>
      <c r="B2" s="2">
        <f>COUNTIF(HD_Facility_Master!$B:$B,A2)</f>
        <v/>
      </c>
      <c r="C2" s="2">
        <f>COUNTIFS(HD_Facility_Master!$B:$B,A2,HD_Facility_Master!$E:$E,"Hospital_Dialysis_Unit")</f>
        <v/>
      </c>
      <c r="D2" s="2">
        <f>COUNTIFS(HD_Facility_Master!$B:$B,A2,HD_Facility_Master!$E:$E,"Standalone_Dialysis_Center")</f>
        <v/>
      </c>
      <c r="E2" s="2">
        <f>COUNTIFS(HD_Facility_Master!$B:$B,A2,HD_Facility_Master!$E:$E,"Satellite_Dialysis_Center")</f>
        <v/>
      </c>
      <c r="F2" s="2">
        <f>COUNTIFS(HD_Facility_Master!$B:$B,A2,HD_Facility_Master!$E:$E,"Hospital_Dialysis_Unit")</f>
        <v/>
      </c>
      <c r="G2" s="2">
        <f>COUNTIFS(HD_Facility_Master!$B:$B,A2,HD_Facility_Master!$E:$E,"Health_Center")</f>
        <v/>
      </c>
      <c r="H2" s="2">
        <f>COUNTIFS(HD_Facility_Master!$B:$B,A2,HD_Facility_Master!$E:$E,"Specialized_Renal_Center")</f>
        <v/>
      </c>
      <c r="I2" s="2">
        <f>COUNTIFS(HD_Facility_Master!$B:$B,A2,HD_Facility_Master!$P:$P,"Government")</f>
        <v/>
      </c>
      <c r="J2" s="2">
        <f>COUNTIFS(HD_Facility_Master!$B:$B,A2,HD_Facility_Master!$P:$P,"Private")</f>
        <v/>
      </c>
      <c r="K2" s="2">
        <f>COUNTIFS(HD_Facility_Master!$B:$B,A2,HD_Facility_Master!$P:$P,"Military")</f>
        <v/>
      </c>
      <c r="L2" s="2">
        <f>COUNTIFS(HD_Facility_Master!$B:$B,A2,HD_Facility_Master!$P:$P,"University")</f>
        <v/>
      </c>
      <c r="M2" s="2">
        <f>COUNTIFS(HD_Facility_Master!$B:$B,A2,HD_Facility_Master!$E:$E,"Other")</f>
        <v/>
      </c>
      <c r="N2" s="2">
        <f>COUNTIFS(HD_Facility_Master!$B:$B,A2,HD_Facility_Master!$Y:$Y,"&gt;0")</f>
        <v/>
      </c>
      <c r="O2" s="2">
        <f>SUMIFS(HD_Facility_Master!$Y:$Y,HD_Facility_Master!$B:$B,A2)</f>
        <v/>
      </c>
      <c r="P2" s="2">
        <f>COUNTIFS(HD_Facility_Master!$B:$B,A2,HD_Facility_Master!$AT:$AT,"Tier_1")</f>
        <v/>
      </c>
      <c r="Q2" s="2">
        <f>COUNTIFS(HD_Facility_Master!$B:$B,A2,HD_Facility_Master!$AT:$AT,"Tier_2")</f>
        <v/>
      </c>
      <c r="R2" s="2">
        <f>COUNTIFS(HD_Facility_Master!$B:$B,A2,HD_Facility_Master!$AT:$AT,"Tier_3")</f>
        <v/>
      </c>
      <c r="S2" s="2">
        <f>B2</f>
        <v/>
      </c>
      <c r="T2" s="2" t="inlineStr">
        <is>
          <t>PARTIALLY_VERIFIED</t>
        </is>
      </c>
    </row>
    <row r="3">
      <c r="A3" s="2" t="inlineStr">
        <is>
          <t>UAE</t>
        </is>
      </c>
      <c r="B3" s="2">
        <f>COUNTIF(HD_Facility_Master!$B:$B,A3)</f>
        <v/>
      </c>
      <c r="C3" s="2">
        <f>COUNTIFS(HD_Facility_Master!$B:$B,A3,HD_Facility_Master!$E:$E,"Hospital_Dialysis_Unit")</f>
        <v/>
      </c>
      <c r="D3" s="2">
        <f>COUNTIFS(HD_Facility_Master!$B:$B,A3,HD_Facility_Master!$E:$E,"Standalone_Dialysis_Center")</f>
        <v/>
      </c>
      <c r="E3" s="2">
        <f>COUNTIFS(HD_Facility_Master!$B:$B,A3,HD_Facility_Master!$E:$E,"Satellite_Dialysis_Center")</f>
        <v/>
      </c>
      <c r="F3" s="2">
        <f>COUNTIFS(HD_Facility_Master!$B:$B,A3,HD_Facility_Master!$E:$E,"Hospital_Dialysis_Unit")</f>
        <v/>
      </c>
      <c r="G3" s="2">
        <f>COUNTIFS(HD_Facility_Master!$B:$B,A3,HD_Facility_Master!$E:$E,"Health_Center")</f>
        <v/>
      </c>
      <c r="H3" s="2">
        <f>COUNTIFS(HD_Facility_Master!$B:$B,A3,HD_Facility_Master!$E:$E,"Specialized_Renal_Center")</f>
        <v/>
      </c>
      <c r="I3" s="2">
        <f>COUNTIFS(HD_Facility_Master!$B:$B,A3,HD_Facility_Master!$P:$P,"Government")</f>
        <v/>
      </c>
      <c r="J3" s="2">
        <f>COUNTIFS(HD_Facility_Master!$B:$B,A3,HD_Facility_Master!$P:$P,"Private")</f>
        <v/>
      </c>
      <c r="K3" s="2">
        <f>COUNTIFS(HD_Facility_Master!$B:$B,A3,HD_Facility_Master!$P:$P,"Military")</f>
        <v/>
      </c>
      <c r="L3" s="2">
        <f>COUNTIFS(HD_Facility_Master!$B:$B,A3,HD_Facility_Master!$P:$P,"University")</f>
        <v/>
      </c>
      <c r="M3" s="2">
        <f>COUNTIFS(HD_Facility_Master!$B:$B,A3,HD_Facility_Master!$E:$E,"Other")</f>
        <v/>
      </c>
      <c r="N3" s="2">
        <f>COUNTIFS(HD_Facility_Master!$B:$B,A3,HD_Facility_Master!$Y:$Y,"&gt;0")</f>
        <v/>
      </c>
      <c r="O3" s="2">
        <f>SUMIFS(HD_Facility_Master!$Y:$Y,HD_Facility_Master!$B:$B,A3)</f>
        <v/>
      </c>
      <c r="P3" s="2">
        <f>COUNTIFS(HD_Facility_Master!$B:$B,A3,HD_Facility_Master!$AT:$AT,"Tier_1")</f>
        <v/>
      </c>
      <c r="Q3" s="2">
        <f>COUNTIFS(HD_Facility_Master!$B:$B,A3,HD_Facility_Master!$AT:$AT,"Tier_2")</f>
        <v/>
      </c>
      <c r="R3" s="2">
        <f>COUNTIFS(HD_Facility_Master!$B:$B,A3,HD_Facility_Master!$AT:$AT,"Tier_3")</f>
        <v/>
      </c>
      <c r="S3" s="2">
        <f>B3</f>
        <v/>
      </c>
      <c r="T3" s="2" t="inlineStr">
        <is>
          <t>PARTIALLY_VERIFIED</t>
        </is>
      </c>
    </row>
    <row r="4">
      <c r="A4" s="2" t="inlineStr">
        <is>
          <t>Qatar</t>
        </is>
      </c>
      <c r="B4" s="2">
        <f>COUNTIF(HD_Facility_Master!$B:$B,A4)</f>
        <v/>
      </c>
      <c r="C4" s="2">
        <f>COUNTIFS(HD_Facility_Master!$B:$B,A4,HD_Facility_Master!$E:$E,"Hospital_Dialysis_Unit")</f>
        <v/>
      </c>
      <c r="D4" s="2">
        <f>COUNTIFS(HD_Facility_Master!$B:$B,A4,HD_Facility_Master!$E:$E,"Standalone_Dialysis_Center")</f>
        <v/>
      </c>
      <c r="E4" s="2">
        <f>COUNTIFS(HD_Facility_Master!$B:$B,A4,HD_Facility_Master!$E:$E,"Satellite_Dialysis_Center")</f>
        <v/>
      </c>
      <c r="F4" s="2">
        <f>COUNTIFS(HD_Facility_Master!$B:$B,A4,HD_Facility_Master!$E:$E,"Hospital_Dialysis_Unit")</f>
        <v/>
      </c>
      <c r="G4" s="2">
        <f>COUNTIFS(HD_Facility_Master!$B:$B,A4,HD_Facility_Master!$E:$E,"Health_Center")</f>
        <v/>
      </c>
      <c r="H4" s="2">
        <f>COUNTIFS(HD_Facility_Master!$B:$B,A4,HD_Facility_Master!$E:$E,"Specialized_Renal_Center")</f>
        <v/>
      </c>
      <c r="I4" s="2">
        <f>COUNTIFS(HD_Facility_Master!$B:$B,A4,HD_Facility_Master!$P:$P,"Government")</f>
        <v/>
      </c>
      <c r="J4" s="2">
        <f>COUNTIFS(HD_Facility_Master!$B:$B,A4,HD_Facility_Master!$P:$P,"Private")</f>
        <v/>
      </c>
      <c r="K4" s="2">
        <f>COUNTIFS(HD_Facility_Master!$B:$B,A4,HD_Facility_Master!$P:$P,"Military")</f>
        <v/>
      </c>
      <c r="L4" s="2">
        <f>COUNTIFS(HD_Facility_Master!$B:$B,A4,HD_Facility_Master!$P:$P,"University")</f>
        <v/>
      </c>
      <c r="M4" s="2">
        <f>COUNTIFS(HD_Facility_Master!$B:$B,A4,HD_Facility_Master!$E:$E,"Other")</f>
        <v/>
      </c>
      <c r="N4" s="2">
        <f>COUNTIFS(HD_Facility_Master!$B:$B,A4,HD_Facility_Master!$Y:$Y,"&gt;0")</f>
        <v/>
      </c>
      <c r="O4" s="2">
        <f>SUMIFS(HD_Facility_Master!$Y:$Y,HD_Facility_Master!$B:$B,A4)</f>
        <v/>
      </c>
      <c r="P4" s="2">
        <f>COUNTIFS(HD_Facility_Master!$B:$B,A4,HD_Facility_Master!$AT:$AT,"Tier_1")</f>
        <v/>
      </c>
      <c r="Q4" s="2">
        <f>COUNTIFS(HD_Facility_Master!$B:$B,A4,HD_Facility_Master!$AT:$AT,"Tier_2")</f>
        <v/>
      </c>
      <c r="R4" s="2">
        <f>COUNTIFS(HD_Facility_Master!$B:$B,A4,HD_Facility_Master!$AT:$AT,"Tier_3")</f>
        <v/>
      </c>
      <c r="S4" s="2">
        <f>B4</f>
        <v/>
      </c>
      <c r="T4" s="2" t="inlineStr">
        <is>
          <t>PARTIALLY_VERIFIED</t>
        </is>
      </c>
    </row>
    <row r="5">
      <c r="A5" s="2" t="inlineStr">
        <is>
          <t>Kuwait</t>
        </is>
      </c>
      <c r="B5" s="2">
        <f>COUNTIF(HD_Facility_Master!$B:$B,A5)</f>
        <v/>
      </c>
      <c r="C5" s="2">
        <f>COUNTIFS(HD_Facility_Master!$B:$B,A5,HD_Facility_Master!$E:$E,"Hospital_Dialysis_Unit")</f>
        <v/>
      </c>
      <c r="D5" s="2">
        <f>COUNTIFS(HD_Facility_Master!$B:$B,A5,HD_Facility_Master!$E:$E,"Standalone_Dialysis_Center")</f>
        <v/>
      </c>
      <c r="E5" s="2">
        <f>COUNTIFS(HD_Facility_Master!$B:$B,A5,HD_Facility_Master!$E:$E,"Satellite_Dialysis_Center")</f>
        <v/>
      </c>
      <c r="F5" s="2">
        <f>COUNTIFS(HD_Facility_Master!$B:$B,A5,HD_Facility_Master!$E:$E,"Hospital_Dialysis_Unit")</f>
        <v/>
      </c>
      <c r="G5" s="2">
        <f>COUNTIFS(HD_Facility_Master!$B:$B,A5,HD_Facility_Master!$E:$E,"Health_Center")</f>
        <v/>
      </c>
      <c r="H5" s="2">
        <f>COUNTIFS(HD_Facility_Master!$B:$B,A5,HD_Facility_Master!$E:$E,"Specialized_Renal_Center")</f>
        <v/>
      </c>
      <c r="I5" s="2">
        <f>COUNTIFS(HD_Facility_Master!$B:$B,A5,HD_Facility_Master!$P:$P,"Government")</f>
        <v/>
      </c>
      <c r="J5" s="2">
        <f>COUNTIFS(HD_Facility_Master!$B:$B,A5,HD_Facility_Master!$P:$P,"Private")</f>
        <v/>
      </c>
      <c r="K5" s="2">
        <f>COUNTIFS(HD_Facility_Master!$B:$B,A5,HD_Facility_Master!$P:$P,"Military")</f>
        <v/>
      </c>
      <c r="L5" s="2">
        <f>COUNTIFS(HD_Facility_Master!$B:$B,A5,HD_Facility_Master!$P:$P,"University")</f>
        <v/>
      </c>
      <c r="M5" s="2">
        <f>COUNTIFS(HD_Facility_Master!$B:$B,A5,HD_Facility_Master!$E:$E,"Other")</f>
        <v/>
      </c>
      <c r="N5" s="2">
        <f>COUNTIFS(HD_Facility_Master!$B:$B,A5,HD_Facility_Master!$Y:$Y,"&gt;0")</f>
        <v/>
      </c>
      <c r="O5" s="2">
        <f>SUMIFS(HD_Facility_Master!$Y:$Y,HD_Facility_Master!$B:$B,A5)</f>
        <v/>
      </c>
      <c r="P5" s="2">
        <f>COUNTIFS(HD_Facility_Master!$B:$B,A5,HD_Facility_Master!$AT:$AT,"Tier_1")</f>
        <v/>
      </c>
      <c r="Q5" s="2">
        <f>COUNTIFS(HD_Facility_Master!$B:$B,A5,HD_Facility_Master!$AT:$AT,"Tier_2")</f>
        <v/>
      </c>
      <c r="R5" s="2">
        <f>COUNTIFS(HD_Facility_Master!$B:$B,A5,HD_Facility_Master!$AT:$AT,"Tier_3")</f>
        <v/>
      </c>
      <c r="S5" s="2">
        <f>B5</f>
        <v/>
      </c>
      <c r="T5" s="2" t="inlineStr">
        <is>
          <t>PARTIALLY_VERIFIED</t>
        </is>
      </c>
    </row>
    <row r="6">
      <c r="A6" s="2" t="inlineStr">
        <is>
          <t>Oman</t>
        </is>
      </c>
      <c r="B6" s="2">
        <f>COUNTIF(HD_Facility_Master!$B:$B,A6)</f>
        <v/>
      </c>
      <c r="C6" s="2">
        <f>COUNTIFS(HD_Facility_Master!$B:$B,A6,HD_Facility_Master!$E:$E,"Hospital_Dialysis_Unit")</f>
        <v/>
      </c>
      <c r="D6" s="2">
        <f>COUNTIFS(HD_Facility_Master!$B:$B,A6,HD_Facility_Master!$E:$E,"Standalone_Dialysis_Center")</f>
        <v/>
      </c>
      <c r="E6" s="2">
        <f>COUNTIFS(HD_Facility_Master!$B:$B,A6,HD_Facility_Master!$E:$E,"Satellite_Dialysis_Center")</f>
        <v/>
      </c>
      <c r="F6" s="2">
        <f>COUNTIFS(HD_Facility_Master!$B:$B,A6,HD_Facility_Master!$E:$E,"Hospital_Dialysis_Unit")</f>
        <v/>
      </c>
      <c r="G6" s="2">
        <f>COUNTIFS(HD_Facility_Master!$B:$B,A6,HD_Facility_Master!$E:$E,"Health_Center")</f>
        <v/>
      </c>
      <c r="H6" s="2">
        <f>COUNTIFS(HD_Facility_Master!$B:$B,A6,HD_Facility_Master!$E:$E,"Specialized_Renal_Center")</f>
        <v/>
      </c>
      <c r="I6" s="2">
        <f>COUNTIFS(HD_Facility_Master!$B:$B,A6,HD_Facility_Master!$P:$P,"Government")</f>
        <v/>
      </c>
      <c r="J6" s="2">
        <f>COUNTIFS(HD_Facility_Master!$B:$B,A6,HD_Facility_Master!$P:$P,"Private")</f>
        <v/>
      </c>
      <c r="K6" s="2">
        <f>COUNTIFS(HD_Facility_Master!$B:$B,A6,HD_Facility_Master!$P:$P,"Military")</f>
        <v/>
      </c>
      <c r="L6" s="2">
        <f>COUNTIFS(HD_Facility_Master!$B:$B,A6,HD_Facility_Master!$P:$P,"University")</f>
        <v/>
      </c>
      <c r="M6" s="2">
        <f>COUNTIFS(HD_Facility_Master!$B:$B,A6,HD_Facility_Master!$E:$E,"Other")</f>
        <v/>
      </c>
      <c r="N6" s="2">
        <f>COUNTIFS(HD_Facility_Master!$B:$B,A6,HD_Facility_Master!$Y:$Y,"&gt;0")</f>
        <v/>
      </c>
      <c r="O6" s="2">
        <f>SUMIFS(HD_Facility_Master!$Y:$Y,HD_Facility_Master!$B:$B,A6)</f>
        <v/>
      </c>
      <c r="P6" s="2">
        <f>COUNTIFS(HD_Facility_Master!$B:$B,A6,HD_Facility_Master!$AT:$AT,"Tier_1")</f>
        <v/>
      </c>
      <c r="Q6" s="2">
        <f>COUNTIFS(HD_Facility_Master!$B:$B,A6,HD_Facility_Master!$AT:$AT,"Tier_2")</f>
        <v/>
      </c>
      <c r="R6" s="2">
        <f>COUNTIFS(HD_Facility_Master!$B:$B,A6,HD_Facility_Master!$AT:$AT,"Tier_3")</f>
        <v/>
      </c>
      <c r="S6" s="2">
        <f>B6</f>
        <v/>
      </c>
      <c r="T6" s="2" t="inlineStr">
        <is>
          <t>PARTIALLY_VERIFIED</t>
        </is>
      </c>
    </row>
    <row r="7">
      <c r="A7" s="2" t="inlineStr">
        <is>
          <t>Bahrain</t>
        </is>
      </c>
      <c r="B7" s="2">
        <f>COUNTIF(HD_Facility_Master!$B:$B,A7)</f>
        <v/>
      </c>
      <c r="C7" s="2">
        <f>COUNTIFS(HD_Facility_Master!$B:$B,A7,HD_Facility_Master!$E:$E,"Hospital_Dialysis_Unit")</f>
        <v/>
      </c>
      <c r="D7" s="2">
        <f>COUNTIFS(HD_Facility_Master!$B:$B,A7,HD_Facility_Master!$E:$E,"Standalone_Dialysis_Center")</f>
        <v/>
      </c>
      <c r="E7" s="2">
        <f>COUNTIFS(HD_Facility_Master!$B:$B,A7,HD_Facility_Master!$E:$E,"Satellite_Dialysis_Center")</f>
        <v/>
      </c>
      <c r="F7" s="2">
        <f>COUNTIFS(HD_Facility_Master!$B:$B,A7,HD_Facility_Master!$E:$E,"Hospital_Dialysis_Unit")</f>
        <v/>
      </c>
      <c r="G7" s="2">
        <f>COUNTIFS(HD_Facility_Master!$B:$B,A7,HD_Facility_Master!$E:$E,"Health_Center")</f>
        <v/>
      </c>
      <c r="H7" s="2">
        <f>COUNTIFS(HD_Facility_Master!$B:$B,A7,HD_Facility_Master!$E:$E,"Specialized_Renal_Center")</f>
        <v/>
      </c>
      <c r="I7" s="2">
        <f>COUNTIFS(HD_Facility_Master!$B:$B,A7,HD_Facility_Master!$P:$P,"Government")</f>
        <v/>
      </c>
      <c r="J7" s="2">
        <f>COUNTIFS(HD_Facility_Master!$B:$B,A7,HD_Facility_Master!$P:$P,"Private")</f>
        <v/>
      </c>
      <c r="K7" s="2">
        <f>COUNTIFS(HD_Facility_Master!$B:$B,A7,HD_Facility_Master!$P:$P,"Military")</f>
        <v/>
      </c>
      <c r="L7" s="2">
        <f>COUNTIFS(HD_Facility_Master!$B:$B,A7,HD_Facility_Master!$P:$P,"University")</f>
        <v/>
      </c>
      <c r="M7" s="2">
        <f>COUNTIFS(HD_Facility_Master!$B:$B,A7,HD_Facility_Master!$E:$E,"Other")</f>
        <v/>
      </c>
      <c r="N7" s="2">
        <f>COUNTIFS(HD_Facility_Master!$B:$B,A7,HD_Facility_Master!$Y:$Y,"&gt;0")</f>
        <v/>
      </c>
      <c r="O7" s="2">
        <f>SUMIFS(HD_Facility_Master!$Y:$Y,HD_Facility_Master!$B:$B,A7)</f>
        <v/>
      </c>
      <c r="P7" s="2">
        <f>COUNTIFS(HD_Facility_Master!$B:$B,A7,HD_Facility_Master!$AT:$AT,"Tier_1")</f>
        <v/>
      </c>
      <c r="Q7" s="2">
        <f>COUNTIFS(HD_Facility_Master!$B:$B,A7,HD_Facility_Master!$AT:$AT,"Tier_2")</f>
        <v/>
      </c>
      <c r="R7" s="2">
        <f>COUNTIFS(HD_Facility_Master!$B:$B,A7,HD_Facility_Master!$AT:$AT,"Tier_3")</f>
        <v/>
      </c>
      <c r="S7" s="2">
        <f>B7</f>
        <v/>
      </c>
      <c r="T7" s="2" t="inlineStr">
        <is>
          <t>PARTIALLY_VERIFIED</t>
        </is>
      </c>
    </row>
    <row r="8">
      <c r="A8" s="2" t="inlineStr">
        <is>
          <t>Jordan</t>
        </is>
      </c>
      <c r="B8" s="2">
        <f>COUNTIF(HD_Facility_Master!$B:$B,A8)</f>
        <v/>
      </c>
      <c r="C8" s="2">
        <f>COUNTIFS(HD_Facility_Master!$B:$B,A8,HD_Facility_Master!$E:$E,"Hospital_Dialysis_Unit")</f>
        <v/>
      </c>
      <c r="D8" s="2">
        <f>COUNTIFS(HD_Facility_Master!$B:$B,A8,HD_Facility_Master!$E:$E,"Standalone_Dialysis_Center")</f>
        <v/>
      </c>
      <c r="E8" s="2">
        <f>COUNTIFS(HD_Facility_Master!$B:$B,A8,HD_Facility_Master!$E:$E,"Satellite_Dialysis_Center")</f>
        <v/>
      </c>
      <c r="F8" s="2">
        <f>COUNTIFS(HD_Facility_Master!$B:$B,A8,HD_Facility_Master!$E:$E,"Hospital_Dialysis_Unit")</f>
        <v/>
      </c>
      <c r="G8" s="2">
        <f>COUNTIFS(HD_Facility_Master!$B:$B,A8,HD_Facility_Master!$E:$E,"Health_Center")</f>
        <v/>
      </c>
      <c r="H8" s="2">
        <f>COUNTIFS(HD_Facility_Master!$B:$B,A8,HD_Facility_Master!$E:$E,"Specialized_Renal_Center")</f>
        <v/>
      </c>
      <c r="I8" s="2">
        <f>COUNTIFS(HD_Facility_Master!$B:$B,A8,HD_Facility_Master!$P:$P,"Government")</f>
        <v/>
      </c>
      <c r="J8" s="2">
        <f>COUNTIFS(HD_Facility_Master!$B:$B,A8,HD_Facility_Master!$P:$P,"Private")</f>
        <v/>
      </c>
      <c r="K8" s="2">
        <f>COUNTIFS(HD_Facility_Master!$B:$B,A8,HD_Facility_Master!$P:$P,"Military")</f>
        <v/>
      </c>
      <c r="L8" s="2">
        <f>COUNTIFS(HD_Facility_Master!$B:$B,A8,HD_Facility_Master!$P:$P,"University")</f>
        <v/>
      </c>
      <c r="M8" s="2">
        <f>COUNTIFS(HD_Facility_Master!$B:$B,A8,HD_Facility_Master!$E:$E,"Other")</f>
        <v/>
      </c>
      <c r="N8" s="2">
        <f>COUNTIFS(HD_Facility_Master!$B:$B,A8,HD_Facility_Master!$Y:$Y,"&gt;0")</f>
        <v/>
      </c>
      <c r="O8" s="2">
        <f>SUMIFS(HD_Facility_Master!$Y:$Y,HD_Facility_Master!$B:$B,A8)</f>
        <v/>
      </c>
      <c r="P8" s="2">
        <f>COUNTIFS(HD_Facility_Master!$B:$B,A8,HD_Facility_Master!$AT:$AT,"Tier_1")</f>
        <v/>
      </c>
      <c r="Q8" s="2">
        <f>COUNTIFS(HD_Facility_Master!$B:$B,A8,HD_Facility_Master!$AT:$AT,"Tier_2")</f>
        <v/>
      </c>
      <c r="R8" s="2">
        <f>COUNTIFS(HD_Facility_Master!$B:$B,A8,HD_Facility_Master!$AT:$AT,"Tier_3")</f>
        <v/>
      </c>
      <c r="S8" s="2">
        <f>B8</f>
        <v/>
      </c>
      <c r="T8" s="2" t="inlineStr">
        <is>
          <t>PARTIALLY_VERIFIED</t>
        </is>
      </c>
    </row>
    <row r="9">
      <c r="A9" s="2" t="inlineStr">
        <is>
          <t>Lebanon</t>
        </is>
      </c>
      <c r="B9" s="2">
        <f>COUNTIF(HD_Facility_Master!$B:$B,A9)</f>
        <v/>
      </c>
      <c r="C9" s="2">
        <f>COUNTIFS(HD_Facility_Master!$B:$B,A9,HD_Facility_Master!$E:$E,"Hospital_Dialysis_Unit")</f>
        <v/>
      </c>
      <c r="D9" s="2">
        <f>COUNTIFS(HD_Facility_Master!$B:$B,A9,HD_Facility_Master!$E:$E,"Standalone_Dialysis_Center")</f>
        <v/>
      </c>
      <c r="E9" s="2">
        <f>COUNTIFS(HD_Facility_Master!$B:$B,A9,HD_Facility_Master!$E:$E,"Satellite_Dialysis_Center")</f>
        <v/>
      </c>
      <c r="F9" s="2">
        <f>COUNTIFS(HD_Facility_Master!$B:$B,A9,HD_Facility_Master!$E:$E,"Hospital_Dialysis_Unit")</f>
        <v/>
      </c>
      <c r="G9" s="2">
        <f>COUNTIFS(HD_Facility_Master!$B:$B,A9,HD_Facility_Master!$E:$E,"Health_Center")</f>
        <v/>
      </c>
      <c r="H9" s="2">
        <f>COUNTIFS(HD_Facility_Master!$B:$B,A9,HD_Facility_Master!$E:$E,"Specialized_Renal_Center")</f>
        <v/>
      </c>
      <c r="I9" s="2">
        <f>COUNTIFS(HD_Facility_Master!$B:$B,A9,HD_Facility_Master!$P:$P,"Government")</f>
        <v/>
      </c>
      <c r="J9" s="2">
        <f>COUNTIFS(HD_Facility_Master!$B:$B,A9,HD_Facility_Master!$P:$P,"Private")</f>
        <v/>
      </c>
      <c r="K9" s="2">
        <f>COUNTIFS(HD_Facility_Master!$B:$B,A9,HD_Facility_Master!$P:$P,"Military")</f>
        <v/>
      </c>
      <c r="L9" s="2">
        <f>COUNTIFS(HD_Facility_Master!$B:$B,A9,HD_Facility_Master!$P:$P,"University")</f>
        <v/>
      </c>
      <c r="M9" s="2">
        <f>COUNTIFS(HD_Facility_Master!$B:$B,A9,HD_Facility_Master!$E:$E,"Other")</f>
        <v/>
      </c>
      <c r="N9" s="2">
        <f>COUNTIFS(HD_Facility_Master!$B:$B,A9,HD_Facility_Master!$Y:$Y,"&gt;0")</f>
        <v/>
      </c>
      <c r="O9" s="2">
        <f>SUMIFS(HD_Facility_Master!$Y:$Y,HD_Facility_Master!$B:$B,A9)</f>
        <v/>
      </c>
      <c r="P9" s="2">
        <f>COUNTIFS(HD_Facility_Master!$B:$B,A9,HD_Facility_Master!$AT:$AT,"Tier_1")</f>
        <v/>
      </c>
      <c r="Q9" s="2">
        <f>COUNTIFS(HD_Facility_Master!$B:$B,A9,HD_Facility_Master!$AT:$AT,"Tier_2")</f>
        <v/>
      </c>
      <c r="R9" s="2">
        <f>COUNTIFS(HD_Facility_Master!$B:$B,A9,HD_Facility_Master!$AT:$AT,"Tier_3")</f>
        <v/>
      </c>
      <c r="S9" s="2">
        <f>B9</f>
        <v/>
      </c>
      <c r="T9" s="2" t="inlineStr">
        <is>
          <t>PARTIALLY_VERIFIED</t>
        </is>
      </c>
    </row>
    <row r="10">
      <c r="A10" s="2" t="inlineStr">
        <is>
          <t>Iraq</t>
        </is>
      </c>
      <c r="B10" s="2">
        <f>COUNTIF(HD_Facility_Master!$B:$B,A10)</f>
        <v/>
      </c>
      <c r="C10" s="2">
        <f>COUNTIFS(HD_Facility_Master!$B:$B,A10,HD_Facility_Master!$E:$E,"Hospital_Dialysis_Unit")</f>
        <v/>
      </c>
      <c r="D10" s="2">
        <f>COUNTIFS(HD_Facility_Master!$B:$B,A10,HD_Facility_Master!$E:$E,"Standalone_Dialysis_Center")</f>
        <v/>
      </c>
      <c r="E10" s="2">
        <f>COUNTIFS(HD_Facility_Master!$B:$B,A10,HD_Facility_Master!$E:$E,"Satellite_Dialysis_Center")</f>
        <v/>
      </c>
      <c r="F10" s="2">
        <f>COUNTIFS(HD_Facility_Master!$B:$B,A10,HD_Facility_Master!$E:$E,"Hospital_Dialysis_Unit")</f>
        <v/>
      </c>
      <c r="G10" s="2">
        <f>COUNTIFS(HD_Facility_Master!$B:$B,A10,HD_Facility_Master!$E:$E,"Health_Center")</f>
        <v/>
      </c>
      <c r="H10" s="2">
        <f>COUNTIFS(HD_Facility_Master!$B:$B,A10,HD_Facility_Master!$E:$E,"Specialized_Renal_Center")</f>
        <v/>
      </c>
      <c r="I10" s="2">
        <f>COUNTIFS(HD_Facility_Master!$B:$B,A10,HD_Facility_Master!$P:$P,"Government")</f>
        <v/>
      </c>
      <c r="J10" s="2">
        <f>COUNTIFS(HD_Facility_Master!$B:$B,A10,HD_Facility_Master!$P:$P,"Private")</f>
        <v/>
      </c>
      <c r="K10" s="2">
        <f>COUNTIFS(HD_Facility_Master!$B:$B,A10,HD_Facility_Master!$P:$P,"Military")</f>
        <v/>
      </c>
      <c r="L10" s="2">
        <f>COUNTIFS(HD_Facility_Master!$B:$B,A10,HD_Facility_Master!$P:$P,"University")</f>
        <v/>
      </c>
      <c r="M10" s="2">
        <f>COUNTIFS(HD_Facility_Master!$B:$B,A10,HD_Facility_Master!$E:$E,"Other")</f>
        <v/>
      </c>
      <c r="N10" s="2">
        <f>COUNTIFS(HD_Facility_Master!$B:$B,A10,HD_Facility_Master!$Y:$Y,"&gt;0")</f>
        <v/>
      </c>
      <c r="O10" s="2">
        <f>SUMIFS(HD_Facility_Master!$Y:$Y,HD_Facility_Master!$B:$B,A10)</f>
        <v/>
      </c>
      <c r="P10" s="2">
        <f>COUNTIFS(HD_Facility_Master!$B:$B,A10,HD_Facility_Master!$AT:$AT,"Tier_1")</f>
        <v/>
      </c>
      <c r="Q10" s="2">
        <f>COUNTIFS(HD_Facility_Master!$B:$B,A10,HD_Facility_Master!$AT:$AT,"Tier_2")</f>
        <v/>
      </c>
      <c r="R10" s="2">
        <f>COUNTIFS(HD_Facility_Master!$B:$B,A10,HD_Facility_Master!$AT:$AT,"Tier_3")</f>
        <v/>
      </c>
      <c r="S10" s="2">
        <f>B10</f>
        <v/>
      </c>
      <c r="T10" s="2" t="inlineStr">
        <is>
          <t>PARTIALLY_VERIFIED</t>
        </is>
      </c>
    </row>
    <row r="11">
      <c r="A11" s="2" t="inlineStr">
        <is>
          <t>TOTAL</t>
        </is>
      </c>
      <c r="B11" s="2">
        <f>SUM(B2:B10)</f>
        <v/>
      </c>
      <c r="C11" s="2">
        <f>SUM(C2:C10)</f>
        <v/>
      </c>
      <c r="D11" s="2">
        <f>SUM(D2:D10)</f>
        <v/>
      </c>
      <c r="E11" s="2">
        <f>SUM(E2:E10)</f>
        <v/>
      </c>
      <c r="F11" s="2">
        <f>SUM(F2:F10)</f>
        <v/>
      </c>
      <c r="G11" s="2">
        <f>SUM(G2:G10)</f>
        <v/>
      </c>
      <c r="H11" s="2">
        <f>SUM(H2:H10)</f>
        <v/>
      </c>
      <c r="I11" s="2">
        <f>SUM(I2:I10)</f>
        <v/>
      </c>
      <c r="J11" s="2">
        <f>SUM(J2:J10)</f>
        <v/>
      </c>
      <c r="K11" s="2">
        <f>SUM(K2:K10)</f>
        <v/>
      </c>
      <c r="L11" s="2">
        <f>SUM(L2:L10)</f>
        <v/>
      </c>
      <c r="M11" s="2">
        <f>SUM(M2:M10)</f>
        <v/>
      </c>
      <c r="N11" s="2">
        <f>SUM(N2:N10)</f>
        <v/>
      </c>
      <c r="O11" s="2">
        <f>SUM(O2:O10)</f>
        <v/>
      </c>
      <c r="P11" s="2">
        <f>SUM(P2:P10)</f>
        <v/>
      </c>
      <c r="Q11" s="2">
        <f>SUM(Q2:Q10)</f>
        <v/>
      </c>
      <c r="R11" s="2">
        <f>SUM(R2:R10)</f>
        <v/>
      </c>
      <c r="S11" s="2">
        <f>SUM(S2:S10)</f>
        <v/>
      </c>
      <c r="T11" s="2" t="inlineStr">
        <is>
          <t>PARTIALLY_VERIFIED</t>
        </is>
      </c>
    </row>
  </sheetData>
  <autoFilter ref="A1:T11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0070AD47"/>
    <outlinePr summaryBelow="1" summaryRight="1"/>
    <pageSetUpPr/>
  </sheetPr>
  <dimension ref="A1:H34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20" customWidth="1" min="3" max="3"/>
    <col width="10" customWidth="1" min="4" max="4"/>
    <col width="45" customWidth="1" min="5" max="5"/>
    <col width="45" customWidth="1" min="6" max="6"/>
    <col width="43" customWidth="1" min="7" max="7"/>
    <col width="20" customWidth="1" min="8" max="8"/>
  </cols>
  <sheetData>
    <row r="1">
      <c r="A1" s="8" t="inlineStr">
        <is>
          <t>Country</t>
        </is>
      </c>
      <c r="B1" s="8" t="inlineStr">
        <is>
          <t>Facility_Name</t>
        </is>
      </c>
      <c r="C1" s="8" t="inlineStr">
        <is>
          <t>Data_Gap</t>
        </is>
      </c>
      <c r="D1" s="8" t="inlineStr">
        <is>
          <t>Priority</t>
        </is>
      </c>
      <c r="E1" s="8" t="inlineStr">
        <is>
          <t>Why_Missing</t>
        </is>
      </c>
      <c r="F1" s="8" t="inlineStr">
        <is>
          <t>Required_Research_Action</t>
        </is>
      </c>
      <c r="G1" s="8" t="inlineStr">
        <is>
          <t>Suggested_Source</t>
        </is>
      </c>
      <c r="H1" s="8" t="inlineStr">
        <is>
          <t>Status</t>
        </is>
      </c>
    </row>
    <row r="2">
      <c r="A2" s="2" t="inlineStr">
        <is>
          <t>Saudi Arabia</t>
        </is>
      </c>
      <c r="B2" s="2" t="inlineStr">
        <is>
          <t>King Salman Center for Kidney Diseases</t>
        </is>
      </c>
      <c r="C2" s="2" t="inlineStr">
        <is>
          <t>HD stations</t>
        </is>
      </c>
      <c r="D2" s="2" t="inlineStr">
        <is>
          <t>MEDIUM</t>
        </is>
      </c>
      <c r="E2" s="2" t="inlineStr">
        <is>
          <t>Facility-level station count not disclosed in source</t>
        </is>
      </c>
      <c r="F2" s="2" t="inlineStr">
        <is>
          <t>Obtain facility capacity report or licensing record</t>
        </is>
      </c>
      <c r="G2" s="2" t="inlineStr">
        <is>
          <t>Health authority / facility annual report</t>
        </is>
      </c>
      <c r="H2" s="2" t="inlineStr">
        <is>
          <t>NEEDS_VERIFICATION</t>
        </is>
      </c>
    </row>
    <row r="3">
      <c r="A3" s="2" t="inlineStr">
        <is>
          <t>Saudi Arabia</t>
        </is>
      </c>
      <c r="B3" s="2" t="inlineStr">
        <is>
          <t>King Salman Center for Kidney Diseases</t>
        </is>
      </c>
      <c r="C3" s="2" t="inlineStr">
        <is>
          <t>Distributor</t>
        </is>
      </c>
      <c r="D3" s="2" t="inlineStr">
        <is>
          <t>LOW</t>
        </is>
      </c>
      <c r="E3" s="2" t="inlineStr">
        <is>
          <t>No facility-specific distributor relationship verified</t>
        </is>
      </c>
      <c r="F3" s="2" t="inlineStr">
        <is>
          <t>Search procurement awards and supplier lists</t>
        </is>
      </c>
      <c r="G3" s="2" t="inlineStr">
        <is>
          <t>Procurement portal / facility procurement</t>
        </is>
      </c>
      <c r="H3" s="2" t="inlineStr">
        <is>
          <t>NEEDS_VERIFICATION</t>
        </is>
      </c>
    </row>
    <row r="4">
      <c r="A4" s="2" t="inlineStr">
        <is>
          <t>Saudi Arabia</t>
        </is>
      </c>
      <c r="B4" s="2" t="inlineStr">
        <is>
          <t>King Salman Center for Kidney Diseases</t>
        </is>
      </c>
      <c r="C4" s="2" t="inlineStr">
        <is>
          <t>Manufacturer/brand</t>
        </is>
      </c>
      <c r="D4" s="2" t="inlineStr">
        <is>
          <t>LOW</t>
        </is>
      </c>
      <c r="E4" s="2" t="inlineStr">
        <is>
          <t>No facility-specific brand relationship verified</t>
        </is>
      </c>
      <c r="F4" s="2" t="inlineStr">
        <is>
          <t>Search tender awards and catalogues</t>
        </is>
      </c>
      <c r="G4" s="2" t="inlineStr">
        <is>
          <t>Procurement portal / manufacturer</t>
        </is>
      </c>
      <c r="H4" s="2" t="inlineStr">
        <is>
          <t>NEEDS_VERIFICATION</t>
        </is>
      </c>
    </row>
    <row r="5">
      <c r="A5" s="2" t="inlineStr">
        <is>
          <t>Saudi Arabia</t>
        </is>
      </c>
      <c r="B5" s="2" t="inlineStr">
        <is>
          <t>Prince Mohammed bin Abdul Aziz Hospital Dialysis Unit</t>
        </is>
      </c>
      <c r="C5" s="2" t="inlineStr">
        <is>
          <t>HD stations</t>
        </is>
      </c>
      <c r="D5" s="2" t="inlineStr">
        <is>
          <t>MEDIUM</t>
        </is>
      </c>
      <c r="E5" s="2" t="inlineStr">
        <is>
          <t>Facility-level station count not disclosed in source</t>
        </is>
      </c>
      <c r="F5" s="2" t="inlineStr">
        <is>
          <t>Obtain facility capacity report or licensing record</t>
        </is>
      </c>
      <c r="G5" s="2" t="inlineStr">
        <is>
          <t>Health authority / facility annual report</t>
        </is>
      </c>
      <c r="H5" s="2" t="inlineStr">
        <is>
          <t>NEEDS_VERIFICATION</t>
        </is>
      </c>
    </row>
    <row r="6">
      <c r="A6" s="2" t="inlineStr">
        <is>
          <t>Saudi Arabia</t>
        </is>
      </c>
      <c r="B6" s="2" t="inlineStr">
        <is>
          <t>Prince Mohammed bin Abdul Aziz Hospital Dialysis Unit</t>
        </is>
      </c>
      <c r="C6" s="2" t="inlineStr">
        <is>
          <t>Distributor</t>
        </is>
      </c>
      <c r="D6" s="2" t="inlineStr">
        <is>
          <t>LOW</t>
        </is>
      </c>
      <c r="E6" s="2" t="inlineStr">
        <is>
          <t>No facility-specific distributor relationship verified</t>
        </is>
      </c>
      <c r="F6" s="2" t="inlineStr">
        <is>
          <t>Search procurement awards and supplier lists</t>
        </is>
      </c>
      <c r="G6" s="2" t="inlineStr">
        <is>
          <t>Procurement portal / facility procurement</t>
        </is>
      </c>
      <c r="H6" s="2" t="inlineStr">
        <is>
          <t>NEEDS_VERIFICATION</t>
        </is>
      </c>
    </row>
    <row r="7">
      <c r="A7" s="2" t="inlineStr">
        <is>
          <t>Saudi Arabia</t>
        </is>
      </c>
      <c r="B7" s="2" t="inlineStr">
        <is>
          <t>Prince Mohammed bin Abdul Aziz Hospital Dialysis Unit</t>
        </is>
      </c>
      <c r="C7" s="2" t="inlineStr">
        <is>
          <t>Manufacturer/brand</t>
        </is>
      </c>
      <c r="D7" s="2" t="inlineStr">
        <is>
          <t>LOW</t>
        </is>
      </c>
      <c r="E7" s="2" t="inlineStr">
        <is>
          <t>No facility-specific brand relationship verified</t>
        </is>
      </c>
      <c r="F7" s="2" t="inlineStr">
        <is>
          <t>Search tender awards and catalogues</t>
        </is>
      </c>
      <c r="G7" s="2" t="inlineStr">
        <is>
          <t>Procurement portal / manufacturer</t>
        </is>
      </c>
      <c r="H7" s="2" t="inlineStr">
        <is>
          <t>NEEDS_VERIFICATION</t>
        </is>
      </c>
    </row>
    <row r="8">
      <c r="A8" s="2" t="inlineStr">
        <is>
          <t>Saudi Arabia</t>
        </is>
      </c>
      <c r="B8" s="2" t="inlineStr">
        <is>
          <t>Prince Abdul Majeed Dialysis Centre</t>
        </is>
      </c>
      <c r="C8" s="2" t="inlineStr">
        <is>
          <t>HD stations</t>
        </is>
      </c>
      <c r="D8" s="2" t="inlineStr">
        <is>
          <t>MEDIUM</t>
        </is>
      </c>
      <c r="E8" s="2" t="inlineStr">
        <is>
          <t>Facility-level station count not disclosed in source</t>
        </is>
      </c>
      <c r="F8" s="2" t="inlineStr">
        <is>
          <t>Obtain facility capacity report or licensing record</t>
        </is>
      </c>
      <c r="G8" s="2" t="inlineStr">
        <is>
          <t>Health authority / facility annual report</t>
        </is>
      </c>
      <c r="H8" s="2" t="inlineStr">
        <is>
          <t>NEEDS_VERIFICATION</t>
        </is>
      </c>
    </row>
    <row r="9">
      <c r="A9" s="2" t="inlineStr">
        <is>
          <t>Saudi Arabia</t>
        </is>
      </c>
      <c r="B9" s="2" t="inlineStr">
        <is>
          <t>Prince Abdul Majeed Dialysis Centre</t>
        </is>
      </c>
      <c r="C9" s="2" t="inlineStr">
        <is>
          <t>Distributor</t>
        </is>
      </c>
      <c r="D9" s="2" t="inlineStr">
        <is>
          <t>LOW</t>
        </is>
      </c>
      <c r="E9" s="2" t="inlineStr">
        <is>
          <t>No facility-specific distributor relationship verified</t>
        </is>
      </c>
      <c r="F9" s="2" t="inlineStr">
        <is>
          <t>Search procurement awards and supplier lists</t>
        </is>
      </c>
      <c r="G9" s="2" t="inlineStr">
        <is>
          <t>Procurement portal / facility procurement</t>
        </is>
      </c>
      <c r="H9" s="2" t="inlineStr">
        <is>
          <t>NEEDS_VERIFICATION</t>
        </is>
      </c>
    </row>
    <row r="10">
      <c r="A10" s="2" t="inlineStr">
        <is>
          <t>Saudi Arabia</t>
        </is>
      </c>
      <c r="B10" s="2" t="inlineStr">
        <is>
          <t>Prince Abdul Majeed Dialysis Centre</t>
        </is>
      </c>
      <c r="C10" s="2" t="inlineStr">
        <is>
          <t>Manufacturer/brand</t>
        </is>
      </c>
      <c r="D10" s="2" t="inlineStr">
        <is>
          <t>LOW</t>
        </is>
      </c>
      <c r="E10" s="2" t="inlineStr">
        <is>
          <t>No facility-specific brand relationship verified</t>
        </is>
      </c>
      <c r="F10" s="2" t="inlineStr">
        <is>
          <t>Search tender awards and catalogues</t>
        </is>
      </c>
      <c r="G10" s="2" t="inlineStr">
        <is>
          <t>Procurement portal / manufacturer</t>
        </is>
      </c>
      <c r="H10" s="2" t="inlineStr">
        <is>
          <t>NEEDS_VERIFICATION</t>
        </is>
      </c>
    </row>
    <row r="11">
      <c r="A11" s="2" t="inlineStr">
        <is>
          <t>Saudi Arabia</t>
        </is>
      </c>
      <c r="B11" s="2" t="inlineStr">
        <is>
          <t>Renal Unit, Long-Term Care Hospital (Ar-Riayah Al-Madidah)</t>
        </is>
      </c>
      <c r="C11" s="2" t="inlineStr">
        <is>
          <t>HD stations</t>
        </is>
      </c>
      <c r="D11" s="2" t="inlineStr">
        <is>
          <t>MEDIUM</t>
        </is>
      </c>
      <c r="E11" s="2" t="inlineStr">
        <is>
          <t>Facility-level station count not disclosed in source</t>
        </is>
      </c>
      <c r="F11" s="2" t="inlineStr">
        <is>
          <t>Obtain facility capacity report or licensing record</t>
        </is>
      </c>
      <c r="G11" s="2" t="inlineStr">
        <is>
          <t>Health authority / facility annual report</t>
        </is>
      </c>
      <c r="H11" s="2" t="inlineStr">
        <is>
          <t>NEEDS_VERIFICATION</t>
        </is>
      </c>
    </row>
    <row r="12">
      <c r="A12" s="2" t="inlineStr">
        <is>
          <t>Saudi Arabia</t>
        </is>
      </c>
      <c r="B12" s="2" t="inlineStr">
        <is>
          <t>Renal Unit, Long-Term Care Hospital (Ar-Riayah Al-Madidah)</t>
        </is>
      </c>
      <c r="C12" s="2" t="inlineStr">
        <is>
          <t>Distributor</t>
        </is>
      </c>
      <c r="D12" s="2" t="inlineStr">
        <is>
          <t>LOW</t>
        </is>
      </c>
      <c r="E12" s="2" t="inlineStr">
        <is>
          <t>No facility-specific distributor relationship verified</t>
        </is>
      </c>
      <c r="F12" s="2" t="inlineStr">
        <is>
          <t>Search procurement awards and supplier lists</t>
        </is>
      </c>
      <c r="G12" s="2" t="inlineStr">
        <is>
          <t>Procurement portal / facility procurement</t>
        </is>
      </c>
      <c r="H12" s="2" t="inlineStr">
        <is>
          <t>NEEDS_VERIFICATION</t>
        </is>
      </c>
    </row>
    <row r="13">
      <c r="A13" s="2" t="inlineStr">
        <is>
          <t>Saudi Arabia</t>
        </is>
      </c>
      <c r="B13" s="2" t="inlineStr">
        <is>
          <t>Renal Unit, Long-Term Care Hospital (Ar-Riayah Al-Madidah)</t>
        </is>
      </c>
      <c r="C13" s="2" t="inlineStr">
        <is>
          <t>Manufacturer/brand</t>
        </is>
      </c>
      <c r="D13" s="2" t="inlineStr">
        <is>
          <t>LOW</t>
        </is>
      </c>
      <c r="E13" s="2" t="inlineStr">
        <is>
          <t>No facility-specific brand relationship verified</t>
        </is>
      </c>
      <c r="F13" s="2" t="inlineStr">
        <is>
          <t>Search tender awards and catalogues</t>
        </is>
      </c>
      <c r="G13" s="2" t="inlineStr">
        <is>
          <t>Procurement portal / manufacturer</t>
        </is>
      </c>
      <c r="H13" s="2" t="inlineStr">
        <is>
          <t>NEEDS_VERIFICATION</t>
        </is>
      </c>
    </row>
    <row r="14">
      <c r="A14" s="2" t="inlineStr">
        <is>
          <t>Saudi Arabia</t>
        </is>
      </c>
      <c r="B14" s="2" t="inlineStr">
        <is>
          <t>Renal Unit, A Rafidah General Hospital</t>
        </is>
      </c>
      <c r="C14" s="2" t="inlineStr">
        <is>
          <t>HD stations</t>
        </is>
      </c>
      <c r="D14" s="2" t="inlineStr">
        <is>
          <t>MEDIUM</t>
        </is>
      </c>
      <c r="E14" s="2" t="inlineStr">
        <is>
          <t>Facility-level station count not disclosed in source</t>
        </is>
      </c>
      <c r="F14" s="2" t="inlineStr">
        <is>
          <t>Obtain facility capacity report or licensing record</t>
        </is>
      </c>
      <c r="G14" s="2" t="inlineStr">
        <is>
          <t>Health authority / facility annual report</t>
        </is>
      </c>
      <c r="H14" s="2" t="inlineStr">
        <is>
          <t>NEEDS_VERIFICATION</t>
        </is>
      </c>
    </row>
    <row r="15">
      <c r="A15" s="2" t="inlineStr">
        <is>
          <t>Saudi Arabia</t>
        </is>
      </c>
      <c r="B15" s="2" t="inlineStr">
        <is>
          <t>Renal Unit, A Rafidah General Hospital</t>
        </is>
      </c>
      <c r="C15" s="2" t="inlineStr">
        <is>
          <t>Distributor</t>
        </is>
      </c>
      <c r="D15" s="2" t="inlineStr">
        <is>
          <t>LOW</t>
        </is>
      </c>
      <c r="E15" s="2" t="inlineStr">
        <is>
          <t>No facility-specific distributor relationship verified</t>
        </is>
      </c>
      <c r="F15" s="2" t="inlineStr">
        <is>
          <t>Search procurement awards and supplier lists</t>
        </is>
      </c>
      <c r="G15" s="2" t="inlineStr">
        <is>
          <t>Procurement portal / facility procurement</t>
        </is>
      </c>
      <c r="H15" s="2" t="inlineStr">
        <is>
          <t>NEEDS_VERIFICATION</t>
        </is>
      </c>
    </row>
    <row r="16">
      <c r="A16" s="2" t="inlineStr">
        <is>
          <t>Saudi Arabia</t>
        </is>
      </c>
      <c r="B16" s="2" t="inlineStr">
        <is>
          <t>Renal Unit, A Rafidah General Hospital</t>
        </is>
      </c>
      <c r="C16" s="2" t="inlineStr">
        <is>
          <t>Manufacturer/brand</t>
        </is>
      </c>
      <c r="D16" s="2" t="inlineStr">
        <is>
          <t>LOW</t>
        </is>
      </c>
      <c r="E16" s="2" t="inlineStr">
        <is>
          <t>No facility-specific brand relationship verified</t>
        </is>
      </c>
      <c r="F16" s="2" t="inlineStr">
        <is>
          <t>Search tender awards and catalogues</t>
        </is>
      </c>
      <c r="G16" s="2" t="inlineStr">
        <is>
          <t>Procurement portal / manufacturer</t>
        </is>
      </c>
      <c r="H16" s="2" t="inlineStr">
        <is>
          <t>NEEDS_VERIFICATION</t>
        </is>
      </c>
    </row>
    <row r="17">
      <c r="A17" s="2" t="inlineStr">
        <is>
          <t>Saudi Arabia</t>
        </is>
      </c>
      <c r="B17" s="2" t="inlineStr">
        <is>
          <t>Renal Center at Muhayil Assir</t>
        </is>
      </c>
      <c r="C17" s="2" t="inlineStr">
        <is>
          <t>HD stations</t>
        </is>
      </c>
      <c r="D17" s="2" t="inlineStr">
        <is>
          <t>MEDIUM</t>
        </is>
      </c>
      <c r="E17" s="2" t="inlineStr">
        <is>
          <t>Facility-level station count not disclosed in source</t>
        </is>
      </c>
      <c r="F17" s="2" t="inlineStr">
        <is>
          <t>Obtain facility capacity report or licensing record</t>
        </is>
      </c>
      <c r="G17" s="2" t="inlineStr">
        <is>
          <t>Health authority / facility annual report</t>
        </is>
      </c>
      <c r="H17" s="2" t="inlineStr">
        <is>
          <t>NEEDS_VERIFICATION</t>
        </is>
      </c>
    </row>
    <row r="18">
      <c r="A18" s="2" t="inlineStr">
        <is>
          <t>Saudi Arabia</t>
        </is>
      </c>
      <c r="B18" s="2" t="inlineStr">
        <is>
          <t>Renal Center at Muhayil Assir</t>
        </is>
      </c>
      <c r="C18" s="2" t="inlineStr">
        <is>
          <t>Distributor</t>
        </is>
      </c>
      <c r="D18" s="2" t="inlineStr">
        <is>
          <t>LOW</t>
        </is>
      </c>
      <c r="E18" s="2" t="inlineStr">
        <is>
          <t>No facility-specific distributor relationship verified</t>
        </is>
      </c>
      <c r="F18" s="2" t="inlineStr">
        <is>
          <t>Search procurement awards and supplier lists</t>
        </is>
      </c>
      <c r="G18" s="2" t="inlineStr">
        <is>
          <t>Procurement portal / facility procurement</t>
        </is>
      </c>
      <c r="H18" s="2" t="inlineStr">
        <is>
          <t>NEEDS_VERIFICATION</t>
        </is>
      </c>
    </row>
    <row r="19">
      <c r="A19" s="2" t="inlineStr">
        <is>
          <t>Saudi Arabia</t>
        </is>
      </c>
      <c r="B19" s="2" t="inlineStr">
        <is>
          <t>Renal Center at Muhayil Assir</t>
        </is>
      </c>
      <c r="C19" s="2" t="inlineStr">
        <is>
          <t>Manufacturer/brand</t>
        </is>
      </c>
      <c r="D19" s="2" t="inlineStr">
        <is>
          <t>LOW</t>
        </is>
      </c>
      <c r="E19" s="2" t="inlineStr">
        <is>
          <t>No facility-specific brand relationship verified</t>
        </is>
      </c>
      <c r="F19" s="2" t="inlineStr">
        <is>
          <t>Search tender awards and catalogues</t>
        </is>
      </c>
      <c r="G19" s="2" t="inlineStr">
        <is>
          <t>Procurement portal / manufacturer</t>
        </is>
      </c>
      <c r="H19" s="2" t="inlineStr">
        <is>
          <t>NEEDS_VERIFICATION</t>
        </is>
      </c>
    </row>
    <row r="20">
      <c r="A20" s="2" t="inlineStr">
        <is>
          <t>Saudi Arabia</t>
        </is>
      </c>
      <c r="B20" s="2" t="inlineStr">
        <is>
          <t>King Fahad Center for Kidney, King Saud Medical City</t>
        </is>
      </c>
      <c r="C20" s="2" t="inlineStr">
        <is>
          <t>HD stations</t>
        </is>
      </c>
      <c r="D20" s="2" t="inlineStr">
        <is>
          <t>MEDIUM</t>
        </is>
      </c>
      <c r="E20" s="2" t="inlineStr">
        <is>
          <t>Facility-level station count not disclosed in source</t>
        </is>
      </c>
      <c r="F20" s="2" t="inlineStr">
        <is>
          <t>Obtain facility capacity report or licensing record</t>
        </is>
      </c>
      <c r="G20" s="2" t="inlineStr">
        <is>
          <t>Health authority / facility annual report</t>
        </is>
      </c>
      <c r="H20" s="2" t="inlineStr">
        <is>
          <t>NEEDS_VERIFICATION</t>
        </is>
      </c>
    </row>
    <row r="21">
      <c r="A21" s="2" t="inlineStr">
        <is>
          <t>Saudi Arabia</t>
        </is>
      </c>
      <c r="B21" s="2" t="inlineStr">
        <is>
          <t>King Fahad Center for Kidney, King Saud Medical City</t>
        </is>
      </c>
      <c r="C21" s="2" t="inlineStr">
        <is>
          <t>Distributor</t>
        </is>
      </c>
      <c r="D21" s="2" t="inlineStr">
        <is>
          <t>LOW</t>
        </is>
      </c>
      <c r="E21" s="2" t="inlineStr">
        <is>
          <t>No facility-specific distributor relationship verified</t>
        </is>
      </c>
      <c r="F21" s="2" t="inlineStr">
        <is>
          <t>Search procurement awards and supplier lists</t>
        </is>
      </c>
      <c r="G21" s="2" t="inlineStr">
        <is>
          <t>Procurement portal / facility procurement</t>
        </is>
      </c>
      <c r="H21" s="2" t="inlineStr">
        <is>
          <t>NEEDS_VERIFICATION</t>
        </is>
      </c>
    </row>
    <row r="22">
      <c r="A22" s="2" t="inlineStr">
        <is>
          <t>Saudi Arabia</t>
        </is>
      </c>
      <c r="B22" s="2" t="inlineStr">
        <is>
          <t>King Fahad Center for Kidney, King Saud Medical City</t>
        </is>
      </c>
      <c r="C22" s="2" t="inlineStr">
        <is>
          <t>Manufacturer/brand</t>
        </is>
      </c>
      <c r="D22" s="2" t="inlineStr">
        <is>
          <t>LOW</t>
        </is>
      </c>
      <c r="E22" s="2" t="inlineStr">
        <is>
          <t>No facility-specific brand relationship verified</t>
        </is>
      </c>
      <c r="F22" s="2" t="inlineStr">
        <is>
          <t>Search tender awards and catalogues</t>
        </is>
      </c>
      <c r="G22" s="2" t="inlineStr">
        <is>
          <t>Procurement portal / manufacturer</t>
        </is>
      </c>
      <c r="H22" s="2" t="inlineStr">
        <is>
          <t>NEEDS_VERIFICATION</t>
        </is>
      </c>
    </row>
    <row r="23">
      <c r="A23" s="2" t="inlineStr">
        <is>
          <t>Saudi Arabia</t>
        </is>
      </c>
      <c r="B23" s="2" t="inlineStr">
        <is>
          <t>King Abdulaziz Kidney Center, King Fahad General Hospital - Madinah</t>
        </is>
      </c>
      <c r="C23" s="2" t="inlineStr">
        <is>
          <t>HD stations</t>
        </is>
      </c>
      <c r="D23" s="2" t="inlineStr">
        <is>
          <t>MEDIUM</t>
        </is>
      </c>
      <c r="E23" s="2" t="inlineStr">
        <is>
          <t>Facility-level station count not disclosed in source</t>
        </is>
      </c>
      <c r="F23" s="2" t="inlineStr">
        <is>
          <t>Obtain facility capacity report or licensing record</t>
        </is>
      </c>
      <c r="G23" s="2" t="inlineStr">
        <is>
          <t>Health authority / facility annual report</t>
        </is>
      </c>
      <c r="H23" s="2" t="inlineStr">
        <is>
          <t>NEEDS_VERIFICATION</t>
        </is>
      </c>
    </row>
    <row r="24">
      <c r="A24" s="2" t="inlineStr">
        <is>
          <t>Saudi Arabia</t>
        </is>
      </c>
      <c r="B24" s="2" t="inlineStr">
        <is>
          <t>King Abdulaziz Kidney Center, King Fahad General Hospital - Madinah</t>
        </is>
      </c>
      <c r="C24" s="2" t="inlineStr">
        <is>
          <t>Distributor</t>
        </is>
      </c>
      <c r="D24" s="2" t="inlineStr">
        <is>
          <t>LOW</t>
        </is>
      </c>
      <c r="E24" s="2" t="inlineStr">
        <is>
          <t>No facility-specific distributor relationship verified</t>
        </is>
      </c>
      <c r="F24" s="2" t="inlineStr">
        <is>
          <t>Search procurement awards and supplier lists</t>
        </is>
      </c>
      <c r="G24" s="2" t="inlineStr">
        <is>
          <t>Procurement portal / facility procurement</t>
        </is>
      </c>
      <c r="H24" s="2" t="inlineStr">
        <is>
          <t>NEEDS_VERIFICATION</t>
        </is>
      </c>
    </row>
    <row r="25">
      <c r="A25" s="2" t="inlineStr">
        <is>
          <t>Saudi Arabia</t>
        </is>
      </c>
      <c r="B25" s="2" t="inlineStr">
        <is>
          <t>King Abdulaziz Kidney Center, King Fahad General Hospital - Madinah</t>
        </is>
      </c>
      <c r="C25" s="2" t="inlineStr">
        <is>
          <t>Manufacturer/brand</t>
        </is>
      </c>
      <c r="D25" s="2" t="inlineStr">
        <is>
          <t>LOW</t>
        </is>
      </c>
      <c r="E25" s="2" t="inlineStr">
        <is>
          <t>No facility-specific brand relationship verified</t>
        </is>
      </c>
      <c r="F25" s="2" t="inlineStr">
        <is>
          <t>Search tender awards and catalogues</t>
        </is>
      </c>
      <c r="G25" s="2" t="inlineStr">
        <is>
          <t>Procurement portal / manufacturer</t>
        </is>
      </c>
      <c r="H25" s="2" t="inlineStr">
        <is>
          <t>NEEDS_VERIFICATION</t>
        </is>
      </c>
    </row>
    <row r="26">
      <c r="A26" s="2" t="inlineStr">
        <is>
          <t>Saudi Arabia</t>
        </is>
      </c>
      <c r="B26" s="2" t="inlineStr">
        <is>
          <t>Al-Dammam Medical Complex</t>
        </is>
      </c>
      <c r="C26" s="2" t="inlineStr">
        <is>
          <t>HD stations</t>
        </is>
      </c>
      <c r="D26" s="2" t="inlineStr">
        <is>
          <t>MEDIUM</t>
        </is>
      </c>
      <c r="E26" s="2" t="inlineStr">
        <is>
          <t>Facility-level station count not disclosed in source</t>
        </is>
      </c>
      <c r="F26" s="2" t="inlineStr">
        <is>
          <t>Obtain facility capacity report or licensing record</t>
        </is>
      </c>
      <c r="G26" s="2" t="inlineStr">
        <is>
          <t>Health authority / facility annual report</t>
        </is>
      </c>
      <c r="H26" s="2" t="inlineStr">
        <is>
          <t>NEEDS_VERIFICATION</t>
        </is>
      </c>
    </row>
    <row r="27">
      <c r="A27" s="2" t="inlineStr">
        <is>
          <t>Saudi Arabia</t>
        </is>
      </c>
      <c r="B27" s="2" t="inlineStr">
        <is>
          <t>Al-Dammam Medical Complex</t>
        </is>
      </c>
      <c r="C27" s="2" t="inlineStr">
        <is>
          <t>Distributor</t>
        </is>
      </c>
      <c r="D27" s="2" t="inlineStr">
        <is>
          <t>LOW</t>
        </is>
      </c>
      <c r="E27" s="2" t="inlineStr">
        <is>
          <t>No facility-specific distributor relationship verified</t>
        </is>
      </c>
      <c r="F27" s="2" t="inlineStr">
        <is>
          <t>Search procurement awards and supplier lists</t>
        </is>
      </c>
      <c r="G27" s="2" t="inlineStr">
        <is>
          <t>Procurement portal / facility procurement</t>
        </is>
      </c>
      <c r="H27" s="2" t="inlineStr">
        <is>
          <t>NEEDS_VERIFICATION</t>
        </is>
      </c>
    </row>
    <row r="28">
      <c r="A28" s="2" t="inlineStr">
        <is>
          <t>Saudi Arabia</t>
        </is>
      </c>
      <c r="B28" s="2" t="inlineStr">
        <is>
          <t>Al-Dammam Medical Complex</t>
        </is>
      </c>
      <c r="C28" s="2" t="inlineStr">
        <is>
          <t>Manufacturer/brand</t>
        </is>
      </c>
      <c r="D28" s="2" t="inlineStr">
        <is>
          <t>LOW</t>
        </is>
      </c>
      <c r="E28" s="2" t="inlineStr">
        <is>
          <t>No facility-specific brand relationship verified</t>
        </is>
      </c>
      <c r="F28" s="2" t="inlineStr">
        <is>
          <t>Search tender awards and catalogues</t>
        </is>
      </c>
      <c r="G28" s="2" t="inlineStr">
        <is>
          <t>Procurement portal / manufacturer</t>
        </is>
      </c>
      <c r="H28" s="2" t="inlineStr">
        <is>
          <t>NEEDS_VERIFICATION</t>
        </is>
      </c>
    </row>
    <row r="29">
      <c r="A29" s="2" t="inlineStr">
        <is>
          <t>Saudi Arabia</t>
        </is>
      </c>
      <c r="B29" s="2" t="inlineStr">
        <is>
          <t>Al-Qatif Central Hospital</t>
        </is>
      </c>
      <c r="C29" s="2" t="inlineStr">
        <is>
          <t>HD stations</t>
        </is>
      </c>
      <c r="D29" s="2" t="inlineStr">
        <is>
          <t>MEDIUM</t>
        </is>
      </c>
      <c r="E29" s="2" t="inlineStr">
        <is>
          <t>Facility-level station count not disclosed in source</t>
        </is>
      </c>
      <c r="F29" s="2" t="inlineStr">
        <is>
          <t>Obtain facility capacity report or licensing record</t>
        </is>
      </c>
      <c r="G29" s="2" t="inlineStr">
        <is>
          <t>Health authority / facility annual report</t>
        </is>
      </c>
      <c r="H29" s="2" t="inlineStr">
        <is>
          <t>NEEDS_VERIFICATION</t>
        </is>
      </c>
    </row>
    <row r="30">
      <c r="A30" s="2" t="inlineStr">
        <is>
          <t>Saudi Arabia</t>
        </is>
      </c>
      <c r="B30" s="2" t="inlineStr">
        <is>
          <t>Al-Qatif Central Hospital</t>
        </is>
      </c>
      <c r="C30" s="2" t="inlineStr">
        <is>
          <t>Distributor</t>
        </is>
      </c>
      <c r="D30" s="2" t="inlineStr">
        <is>
          <t>LOW</t>
        </is>
      </c>
      <c r="E30" s="2" t="inlineStr">
        <is>
          <t>No facility-specific distributor relationship verified</t>
        </is>
      </c>
      <c r="F30" s="2" t="inlineStr">
        <is>
          <t>Search procurement awards and supplier lists</t>
        </is>
      </c>
      <c r="G30" s="2" t="inlineStr">
        <is>
          <t>Procurement portal / facility procurement</t>
        </is>
      </c>
      <c r="H30" s="2" t="inlineStr">
        <is>
          <t>NEEDS_VERIFICATION</t>
        </is>
      </c>
    </row>
    <row r="31">
      <c r="A31" s="2" t="inlineStr">
        <is>
          <t>Saudi Arabia</t>
        </is>
      </c>
      <c r="B31" s="2" t="inlineStr">
        <is>
          <t>Al-Qatif Central Hospital</t>
        </is>
      </c>
      <c r="C31" s="2" t="inlineStr">
        <is>
          <t>Manufacturer/brand</t>
        </is>
      </c>
      <c r="D31" s="2" t="inlineStr">
        <is>
          <t>LOW</t>
        </is>
      </c>
      <c r="E31" s="2" t="inlineStr">
        <is>
          <t>No facility-specific brand relationship verified</t>
        </is>
      </c>
      <c r="F31" s="2" t="inlineStr">
        <is>
          <t>Search tender awards and catalogues</t>
        </is>
      </c>
      <c r="G31" s="2" t="inlineStr">
        <is>
          <t>Procurement portal / manufacturer</t>
        </is>
      </c>
      <c r="H31" s="2" t="inlineStr">
        <is>
          <t>NEEDS_VERIFICATION</t>
        </is>
      </c>
    </row>
    <row r="32">
      <c r="A32" s="2" t="inlineStr">
        <is>
          <t>Saudi Arabia</t>
        </is>
      </c>
      <c r="B32" s="2" t="inlineStr">
        <is>
          <t>Rowaidat Al-Ardh Hospital</t>
        </is>
      </c>
      <c r="C32" s="2" t="inlineStr">
        <is>
          <t>HD stations</t>
        </is>
      </c>
      <c r="D32" s="2" t="inlineStr">
        <is>
          <t>MEDIUM</t>
        </is>
      </c>
      <c r="E32" s="2" t="inlineStr">
        <is>
          <t>Facility-level station count not disclosed in source</t>
        </is>
      </c>
      <c r="F32" s="2" t="inlineStr">
        <is>
          <t>Obtain facility capacity report or licensing record</t>
        </is>
      </c>
      <c r="G32" s="2" t="inlineStr">
        <is>
          <t>Health authority / facility annual report</t>
        </is>
      </c>
      <c r="H32" s="2" t="inlineStr">
        <is>
          <t>NEEDS_VERIFICATION</t>
        </is>
      </c>
    </row>
    <row r="33">
      <c r="A33" s="2" t="inlineStr">
        <is>
          <t>Saudi Arabia</t>
        </is>
      </c>
      <c r="B33" s="2" t="inlineStr">
        <is>
          <t>Rowaidat Al-Ardh Hospital</t>
        </is>
      </c>
      <c r="C33" s="2" t="inlineStr">
        <is>
          <t>Distributor</t>
        </is>
      </c>
      <c r="D33" s="2" t="inlineStr">
        <is>
          <t>LOW</t>
        </is>
      </c>
      <c r="E33" s="2" t="inlineStr">
        <is>
          <t>No facility-specific distributor relationship verified</t>
        </is>
      </c>
      <c r="F33" s="2" t="inlineStr">
        <is>
          <t>Search procurement awards and supplier lists</t>
        </is>
      </c>
      <c r="G33" s="2" t="inlineStr">
        <is>
          <t>Procurement portal / facility procurement</t>
        </is>
      </c>
      <c r="H33" s="2" t="inlineStr">
        <is>
          <t>NEEDS_VERIFICATION</t>
        </is>
      </c>
    </row>
    <row r="34">
      <c r="A34" s="2" t="inlineStr">
        <is>
          <t>Saudi Arabia</t>
        </is>
      </c>
      <c r="B34" s="2" t="inlineStr">
        <is>
          <t>Rowaidat Al-Ardh Hospital</t>
        </is>
      </c>
      <c r="C34" s="2" t="inlineStr">
        <is>
          <t>Manufacturer/brand</t>
        </is>
      </c>
      <c r="D34" s="2" t="inlineStr">
        <is>
          <t>LOW</t>
        </is>
      </c>
      <c r="E34" s="2" t="inlineStr">
        <is>
          <t>No facility-specific brand relationship verified</t>
        </is>
      </c>
      <c r="F34" s="2" t="inlineStr">
        <is>
          <t>Search tender awards and catalogues</t>
        </is>
      </c>
      <c r="G34" s="2" t="inlineStr">
        <is>
          <t>Procurement portal / manufacturer</t>
        </is>
      </c>
      <c r="H34" s="2" t="inlineStr">
        <is>
          <t>NEEDS_VERIFICATION</t>
        </is>
      </c>
    </row>
    <row r="35">
      <c r="A35" s="2" t="inlineStr">
        <is>
          <t>Saudi Arabia</t>
        </is>
      </c>
      <c r="B35" s="2" t="inlineStr">
        <is>
          <t>Al-Rain General Hospital Kidney Center</t>
        </is>
      </c>
      <c r="C35" s="2" t="inlineStr">
        <is>
          <t>HD stations</t>
        </is>
      </c>
      <c r="D35" s="2" t="inlineStr">
        <is>
          <t>MEDIUM</t>
        </is>
      </c>
      <c r="E35" s="2" t="inlineStr">
        <is>
          <t>Facility-level station count not disclosed in source</t>
        </is>
      </c>
      <c r="F35" s="2" t="inlineStr">
        <is>
          <t>Obtain facility capacity report or licensing record</t>
        </is>
      </c>
      <c r="G35" s="2" t="inlineStr">
        <is>
          <t>Health authority / facility annual report</t>
        </is>
      </c>
      <c r="H35" s="2" t="inlineStr">
        <is>
          <t>NEEDS_VERIFICATION</t>
        </is>
      </c>
    </row>
    <row r="36">
      <c r="A36" s="2" t="inlineStr">
        <is>
          <t>Saudi Arabia</t>
        </is>
      </c>
      <c r="B36" s="2" t="inlineStr">
        <is>
          <t>Al-Rain General Hospital Kidney Center</t>
        </is>
      </c>
      <c r="C36" s="2" t="inlineStr">
        <is>
          <t>Distributor</t>
        </is>
      </c>
      <c r="D36" s="2" t="inlineStr">
        <is>
          <t>LOW</t>
        </is>
      </c>
      <c r="E36" s="2" t="inlineStr">
        <is>
          <t>No facility-specific distributor relationship verified</t>
        </is>
      </c>
      <c r="F36" s="2" t="inlineStr">
        <is>
          <t>Search procurement awards and supplier lists</t>
        </is>
      </c>
      <c r="G36" s="2" t="inlineStr">
        <is>
          <t>Procurement portal / facility procurement</t>
        </is>
      </c>
      <c r="H36" s="2" t="inlineStr">
        <is>
          <t>NEEDS_VERIFICATION</t>
        </is>
      </c>
    </row>
    <row r="37">
      <c r="A37" s="2" t="inlineStr">
        <is>
          <t>Saudi Arabia</t>
        </is>
      </c>
      <c r="B37" s="2" t="inlineStr">
        <is>
          <t>Al-Rain General Hospital Kidney Center</t>
        </is>
      </c>
      <c r="C37" s="2" t="inlineStr">
        <is>
          <t>Manufacturer/brand</t>
        </is>
      </c>
      <c r="D37" s="2" t="inlineStr">
        <is>
          <t>LOW</t>
        </is>
      </c>
      <c r="E37" s="2" t="inlineStr">
        <is>
          <t>No facility-specific brand relationship verified</t>
        </is>
      </c>
      <c r="F37" s="2" t="inlineStr">
        <is>
          <t>Search tender awards and catalogues</t>
        </is>
      </c>
      <c r="G37" s="2" t="inlineStr">
        <is>
          <t>Procurement portal / manufacturer</t>
        </is>
      </c>
      <c r="H37" s="2" t="inlineStr">
        <is>
          <t>NEEDS_VERIFICATION</t>
        </is>
      </c>
    </row>
    <row r="38">
      <c r="A38" s="2" t="inlineStr">
        <is>
          <t>Saudi Arabia</t>
        </is>
      </c>
      <c r="B38" s="2" t="inlineStr">
        <is>
          <t>Al-Qassim Charitable Complex for Kidney Dialysis and Dentistry</t>
        </is>
      </c>
      <c r="C38" s="2" t="inlineStr">
        <is>
          <t>HD stations</t>
        </is>
      </c>
      <c r="D38" s="2" t="inlineStr">
        <is>
          <t>MEDIUM</t>
        </is>
      </c>
      <c r="E38" s="2" t="inlineStr">
        <is>
          <t>Facility-level station count not disclosed in source</t>
        </is>
      </c>
      <c r="F38" s="2" t="inlineStr">
        <is>
          <t>Obtain facility capacity report or licensing record</t>
        </is>
      </c>
      <c r="G38" s="2" t="inlineStr">
        <is>
          <t>Health authority / facility annual report</t>
        </is>
      </c>
      <c r="H38" s="2" t="inlineStr">
        <is>
          <t>NEEDS_VERIFICATION</t>
        </is>
      </c>
    </row>
    <row r="39">
      <c r="A39" s="2" t="inlineStr">
        <is>
          <t>Saudi Arabia</t>
        </is>
      </c>
      <c r="B39" s="2" t="inlineStr">
        <is>
          <t>Al-Qassim Charitable Complex for Kidney Dialysis and Dentistry</t>
        </is>
      </c>
      <c r="C39" s="2" t="inlineStr">
        <is>
          <t>Distributor</t>
        </is>
      </c>
      <c r="D39" s="2" t="inlineStr">
        <is>
          <t>LOW</t>
        </is>
      </c>
      <c r="E39" s="2" t="inlineStr">
        <is>
          <t>No facility-specific distributor relationship verified</t>
        </is>
      </c>
      <c r="F39" s="2" t="inlineStr">
        <is>
          <t>Search procurement awards and supplier lists</t>
        </is>
      </c>
      <c r="G39" s="2" t="inlineStr">
        <is>
          <t>Procurement portal / facility procurement</t>
        </is>
      </c>
      <c r="H39" s="2" t="inlineStr">
        <is>
          <t>NEEDS_VERIFICATION</t>
        </is>
      </c>
    </row>
    <row r="40">
      <c r="A40" s="2" t="inlineStr">
        <is>
          <t>Saudi Arabia</t>
        </is>
      </c>
      <c r="B40" s="2" t="inlineStr">
        <is>
          <t>Al-Qassim Charitable Complex for Kidney Dialysis and Dentistry</t>
        </is>
      </c>
      <c r="C40" s="2" t="inlineStr">
        <is>
          <t>Manufacturer/brand</t>
        </is>
      </c>
      <c r="D40" s="2" t="inlineStr">
        <is>
          <t>LOW</t>
        </is>
      </c>
      <c r="E40" s="2" t="inlineStr">
        <is>
          <t>No facility-specific brand relationship verified</t>
        </is>
      </c>
      <c r="F40" s="2" t="inlineStr">
        <is>
          <t>Search tender awards and catalogues</t>
        </is>
      </c>
      <c r="G40" s="2" t="inlineStr">
        <is>
          <t>Procurement portal / manufacturer</t>
        </is>
      </c>
      <c r="H40" s="2" t="inlineStr">
        <is>
          <t>NEEDS_VERIFICATION</t>
        </is>
      </c>
    </row>
    <row r="41">
      <c r="A41" s="2" t="inlineStr">
        <is>
          <t>UAE</t>
        </is>
      </c>
      <c r="B41" s="2" t="inlineStr">
        <is>
          <t>Merrimac Dialysis Center</t>
        </is>
      </c>
      <c r="C41" s="2" t="inlineStr">
        <is>
          <t>HD stations</t>
        </is>
      </c>
      <c r="D41" s="2" t="inlineStr">
        <is>
          <t>MEDIUM</t>
        </is>
      </c>
      <c r="E41" s="2" t="inlineStr">
        <is>
          <t>Facility-level station count not disclosed in source</t>
        </is>
      </c>
      <c r="F41" s="2" t="inlineStr">
        <is>
          <t>Obtain facility capacity report or licensing record</t>
        </is>
      </c>
      <c r="G41" s="2" t="inlineStr">
        <is>
          <t>Health authority / facility annual report</t>
        </is>
      </c>
      <c r="H41" s="2" t="inlineStr">
        <is>
          <t>NEEDS_VERIFICATION</t>
        </is>
      </c>
    </row>
    <row r="42">
      <c r="A42" s="2" t="inlineStr">
        <is>
          <t>UAE</t>
        </is>
      </c>
      <c r="B42" s="2" t="inlineStr">
        <is>
          <t>Merrimac Dialysis Center</t>
        </is>
      </c>
      <c r="C42" s="2" t="inlineStr">
        <is>
          <t>Ownership</t>
        </is>
      </c>
      <c r="D42" s="2" t="inlineStr">
        <is>
          <t>MEDIUM</t>
        </is>
      </c>
      <c r="E42" s="2" t="inlineStr">
        <is>
          <t>Source verifies HD service but not ownership</t>
        </is>
      </c>
      <c r="F42" s="2" t="inlineStr">
        <is>
          <t>Verify ownership from regulator/facility registry</t>
        </is>
      </c>
      <c r="G42" s="2" t="inlineStr">
        <is>
          <t>Health authority facility registry</t>
        </is>
      </c>
      <c r="H42" s="2" t="inlineStr">
        <is>
          <t>NEEDS_VERIFICATION</t>
        </is>
      </c>
    </row>
    <row r="43">
      <c r="A43" s="2" t="inlineStr">
        <is>
          <t>UAE</t>
        </is>
      </c>
      <c r="B43" s="2" t="inlineStr">
        <is>
          <t>Merrimac Dialysis Center</t>
        </is>
      </c>
      <c r="C43" s="2" t="inlineStr">
        <is>
          <t>Distributor</t>
        </is>
      </c>
      <c r="D43" s="2" t="inlineStr">
        <is>
          <t>LOW</t>
        </is>
      </c>
      <c r="E43" s="2" t="inlineStr">
        <is>
          <t>No facility-specific distributor relationship verified</t>
        </is>
      </c>
      <c r="F43" s="2" t="inlineStr">
        <is>
          <t>Search procurement awards and supplier lists</t>
        </is>
      </c>
      <c r="G43" s="2" t="inlineStr">
        <is>
          <t>Procurement portal / facility procurement</t>
        </is>
      </c>
      <c r="H43" s="2" t="inlineStr">
        <is>
          <t>NEEDS_VERIFICATION</t>
        </is>
      </c>
    </row>
    <row r="44">
      <c r="A44" s="2" t="inlineStr">
        <is>
          <t>UAE</t>
        </is>
      </c>
      <c r="B44" s="2" t="inlineStr">
        <is>
          <t>Merrimac Dialysis Center</t>
        </is>
      </c>
      <c r="C44" s="2" t="inlineStr">
        <is>
          <t>Manufacturer/brand</t>
        </is>
      </c>
      <c r="D44" s="2" t="inlineStr">
        <is>
          <t>LOW</t>
        </is>
      </c>
      <c r="E44" s="2" t="inlineStr">
        <is>
          <t>No facility-specific brand relationship verified</t>
        </is>
      </c>
      <c r="F44" s="2" t="inlineStr">
        <is>
          <t>Search tender awards and catalogues</t>
        </is>
      </c>
      <c r="G44" s="2" t="inlineStr">
        <is>
          <t>Procurement portal / manufacturer</t>
        </is>
      </c>
      <c r="H44" s="2" t="inlineStr">
        <is>
          <t>NEEDS_VERIFICATION</t>
        </is>
      </c>
    </row>
    <row r="45">
      <c r="A45" s="2" t="inlineStr">
        <is>
          <t>UAE</t>
        </is>
      </c>
      <c r="B45" s="2" t="inlineStr">
        <is>
          <t>Canadian Specialist Hospital</t>
        </is>
      </c>
      <c r="C45" s="2" t="inlineStr">
        <is>
          <t>HD stations</t>
        </is>
      </c>
      <c r="D45" s="2" t="inlineStr">
        <is>
          <t>MEDIUM</t>
        </is>
      </c>
      <c r="E45" s="2" t="inlineStr">
        <is>
          <t>Facility-level station count not disclosed in source</t>
        </is>
      </c>
      <c r="F45" s="2" t="inlineStr">
        <is>
          <t>Obtain facility capacity report or licensing record</t>
        </is>
      </c>
      <c r="G45" s="2" t="inlineStr">
        <is>
          <t>Health authority / facility annual report</t>
        </is>
      </c>
      <c r="H45" s="2" t="inlineStr">
        <is>
          <t>NEEDS_VERIFICATION</t>
        </is>
      </c>
    </row>
    <row r="46">
      <c r="A46" s="2" t="inlineStr">
        <is>
          <t>UAE</t>
        </is>
      </c>
      <c r="B46" s="2" t="inlineStr">
        <is>
          <t>Canadian Specialist Hospital</t>
        </is>
      </c>
      <c r="C46" s="2" t="inlineStr">
        <is>
          <t>Ownership</t>
        </is>
      </c>
      <c r="D46" s="2" t="inlineStr">
        <is>
          <t>MEDIUM</t>
        </is>
      </c>
      <c r="E46" s="2" t="inlineStr">
        <is>
          <t>Source verifies HD service but not ownership</t>
        </is>
      </c>
      <c r="F46" s="2" t="inlineStr">
        <is>
          <t>Verify ownership from regulator/facility registry</t>
        </is>
      </c>
      <c r="G46" s="2" t="inlineStr">
        <is>
          <t>Health authority facility registry</t>
        </is>
      </c>
      <c r="H46" s="2" t="inlineStr">
        <is>
          <t>NEEDS_VERIFICATION</t>
        </is>
      </c>
    </row>
    <row r="47">
      <c r="A47" s="2" t="inlineStr">
        <is>
          <t>UAE</t>
        </is>
      </c>
      <c r="B47" s="2" t="inlineStr">
        <is>
          <t>Canadian Specialist Hospital</t>
        </is>
      </c>
      <c r="C47" s="2" t="inlineStr">
        <is>
          <t>Distributor</t>
        </is>
      </c>
      <c r="D47" s="2" t="inlineStr">
        <is>
          <t>LOW</t>
        </is>
      </c>
      <c r="E47" s="2" t="inlineStr">
        <is>
          <t>No facility-specific distributor relationship verified</t>
        </is>
      </c>
      <c r="F47" s="2" t="inlineStr">
        <is>
          <t>Search procurement awards and supplier lists</t>
        </is>
      </c>
      <c r="G47" s="2" t="inlineStr">
        <is>
          <t>Procurement portal / facility procurement</t>
        </is>
      </c>
      <c r="H47" s="2" t="inlineStr">
        <is>
          <t>NEEDS_VERIFICATION</t>
        </is>
      </c>
    </row>
    <row r="48">
      <c r="A48" s="2" t="inlineStr">
        <is>
          <t>UAE</t>
        </is>
      </c>
      <c r="B48" s="2" t="inlineStr">
        <is>
          <t>Canadian Specialist Hospital</t>
        </is>
      </c>
      <c r="C48" s="2" t="inlineStr">
        <is>
          <t>Manufacturer/brand</t>
        </is>
      </c>
      <c r="D48" s="2" t="inlineStr">
        <is>
          <t>LOW</t>
        </is>
      </c>
      <c r="E48" s="2" t="inlineStr">
        <is>
          <t>No facility-specific brand relationship verified</t>
        </is>
      </c>
      <c r="F48" s="2" t="inlineStr">
        <is>
          <t>Search tender awards and catalogues</t>
        </is>
      </c>
      <c r="G48" s="2" t="inlineStr">
        <is>
          <t>Procurement portal / manufacturer</t>
        </is>
      </c>
      <c r="H48" s="2" t="inlineStr">
        <is>
          <t>NEEDS_VERIFICATION</t>
        </is>
      </c>
    </row>
    <row r="49">
      <c r="A49" s="2" t="inlineStr">
        <is>
          <t>UAE</t>
        </is>
      </c>
      <c r="B49" s="2" t="inlineStr">
        <is>
          <t>American Hospital Dubai</t>
        </is>
      </c>
      <c r="C49" s="2" t="inlineStr">
        <is>
          <t>HD stations</t>
        </is>
      </c>
      <c r="D49" s="2" t="inlineStr">
        <is>
          <t>MEDIUM</t>
        </is>
      </c>
      <c r="E49" s="2" t="inlineStr">
        <is>
          <t>Facility-level station count not disclosed in source</t>
        </is>
      </c>
      <c r="F49" s="2" t="inlineStr">
        <is>
          <t>Obtain facility capacity report or licensing record</t>
        </is>
      </c>
      <c r="G49" s="2" t="inlineStr">
        <is>
          <t>Health authority / facility annual report</t>
        </is>
      </c>
      <c r="H49" s="2" t="inlineStr">
        <is>
          <t>NEEDS_VERIFICATION</t>
        </is>
      </c>
    </row>
    <row r="50">
      <c r="A50" s="2" t="inlineStr">
        <is>
          <t>UAE</t>
        </is>
      </c>
      <c r="B50" s="2" t="inlineStr">
        <is>
          <t>American Hospital Dubai</t>
        </is>
      </c>
      <c r="C50" s="2" t="inlineStr">
        <is>
          <t>Ownership</t>
        </is>
      </c>
      <c r="D50" s="2" t="inlineStr">
        <is>
          <t>MEDIUM</t>
        </is>
      </c>
      <c r="E50" s="2" t="inlineStr">
        <is>
          <t>Source verifies HD service but not ownership</t>
        </is>
      </c>
      <c r="F50" s="2" t="inlineStr">
        <is>
          <t>Verify ownership from regulator/facility registry</t>
        </is>
      </c>
      <c r="G50" s="2" t="inlineStr">
        <is>
          <t>Health authority facility registry</t>
        </is>
      </c>
      <c r="H50" s="2" t="inlineStr">
        <is>
          <t>NEEDS_VERIFICATION</t>
        </is>
      </c>
    </row>
    <row r="51">
      <c r="A51" s="2" t="inlineStr">
        <is>
          <t>UAE</t>
        </is>
      </c>
      <c r="B51" s="2" t="inlineStr">
        <is>
          <t>American Hospital Dubai</t>
        </is>
      </c>
      <c r="C51" s="2" t="inlineStr">
        <is>
          <t>Distributor</t>
        </is>
      </c>
      <c r="D51" s="2" t="inlineStr">
        <is>
          <t>LOW</t>
        </is>
      </c>
      <c r="E51" s="2" t="inlineStr">
        <is>
          <t>No facility-specific distributor relationship verified</t>
        </is>
      </c>
      <c r="F51" s="2" t="inlineStr">
        <is>
          <t>Search procurement awards and supplier lists</t>
        </is>
      </c>
      <c r="G51" s="2" t="inlineStr">
        <is>
          <t>Procurement portal / facility procurement</t>
        </is>
      </c>
      <c r="H51" s="2" t="inlineStr">
        <is>
          <t>NEEDS_VERIFICATION</t>
        </is>
      </c>
    </row>
    <row r="52">
      <c r="A52" s="2" t="inlineStr">
        <is>
          <t>UAE</t>
        </is>
      </c>
      <c r="B52" s="2" t="inlineStr">
        <is>
          <t>American Hospital Dubai</t>
        </is>
      </c>
      <c r="C52" s="2" t="inlineStr">
        <is>
          <t>Manufacturer/brand</t>
        </is>
      </c>
      <c r="D52" s="2" t="inlineStr">
        <is>
          <t>LOW</t>
        </is>
      </c>
      <c r="E52" s="2" t="inlineStr">
        <is>
          <t>No facility-specific brand relationship verified</t>
        </is>
      </c>
      <c r="F52" s="2" t="inlineStr">
        <is>
          <t>Search tender awards and catalogues</t>
        </is>
      </c>
      <c r="G52" s="2" t="inlineStr">
        <is>
          <t>Procurement portal / manufacturer</t>
        </is>
      </c>
      <c r="H52" s="2" t="inlineStr">
        <is>
          <t>NEEDS_VERIFICATION</t>
        </is>
      </c>
    </row>
    <row r="53">
      <c r="A53" s="2" t="inlineStr">
        <is>
          <t>UAE</t>
        </is>
      </c>
      <c r="B53" s="2" t="inlineStr">
        <is>
          <t>Zulekha Hospital Dubai</t>
        </is>
      </c>
      <c r="C53" s="2" t="inlineStr">
        <is>
          <t>HD stations</t>
        </is>
      </c>
      <c r="D53" s="2" t="inlineStr">
        <is>
          <t>MEDIUM</t>
        </is>
      </c>
      <c r="E53" s="2" t="inlineStr">
        <is>
          <t>Facility-level station count not disclosed in source</t>
        </is>
      </c>
      <c r="F53" s="2" t="inlineStr">
        <is>
          <t>Obtain facility capacity report or licensing record</t>
        </is>
      </c>
      <c r="G53" s="2" t="inlineStr">
        <is>
          <t>Health authority / facility annual report</t>
        </is>
      </c>
      <c r="H53" s="2" t="inlineStr">
        <is>
          <t>NEEDS_VERIFICATION</t>
        </is>
      </c>
    </row>
    <row r="54">
      <c r="A54" s="2" t="inlineStr">
        <is>
          <t>UAE</t>
        </is>
      </c>
      <c r="B54" s="2" t="inlineStr">
        <is>
          <t>Zulekha Hospital Dubai</t>
        </is>
      </c>
      <c r="C54" s="2" t="inlineStr">
        <is>
          <t>Ownership</t>
        </is>
      </c>
      <c r="D54" s="2" t="inlineStr">
        <is>
          <t>MEDIUM</t>
        </is>
      </c>
      <c r="E54" s="2" t="inlineStr">
        <is>
          <t>Source verifies HD service but not ownership</t>
        </is>
      </c>
      <c r="F54" s="2" t="inlineStr">
        <is>
          <t>Verify ownership from regulator/facility registry</t>
        </is>
      </c>
      <c r="G54" s="2" t="inlineStr">
        <is>
          <t>Health authority facility registry</t>
        </is>
      </c>
      <c r="H54" s="2" t="inlineStr">
        <is>
          <t>NEEDS_VERIFICATION</t>
        </is>
      </c>
    </row>
    <row r="55">
      <c r="A55" s="2" t="inlineStr">
        <is>
          <t>UAE</t>
        </is>
      </c>
      <c r="B55" s="2" t="inlineStr">
        <is>
          <t>Zulekha Hospital Dubai</t>
        </is>
      </c>
      <c r="C55" s="2" t="inlineStr">
        <is>
          <t>Distributor</t>
        </is>
      </c>
      <c r="D55" s="2" t="inlineStr">
        <is>
          <t>LOW</t>
        </is>
      </c>
      <c r="E55" s="2" t="inlineStr">
        <is>
          <t>No facility-specific distributor relationship verified</t>
        </is>
      </c>
      <c r="F55" s="2" t="inlineStr">
        <is>
          <t>Search procurement awards and supplier lists</t>
        </is>
      </c>
      <c r="G55" s="2" t="inlineStr">
        <is>
          <t>Procurement portal / facility procurement</t>
        </is>
      </c>
      <c r="H55" s="2" t="inlineStr">
        <is>
          <t>NEEDS_VERIFICATION</t>
        </is>
      </c>
    </row>
    <row r="56">
      <c r="A56" s="2" t="inlineStr">
        <is>
          <t>UAE</t>
        </is>
      </c>
      <c r="B56" s="2" t="inlineStr">
        <is>
          <t>Zulekha Hospital Dubai</t>
        </is>
      </c>
      <c r="C56" s="2" t="inlineStr">
        <is>
          <t>Manufacturer/brand</t>
        </is>
      </c>
      <c r="D56" s="2" t="inlineStr">
        <is>
          <t>LOW</t>
        </is>
      </c>
      <c r="E56" s="2" t="inlineStr">
        <is>
          <t>No facility-specific brand relationship verified</t>
        </is>
      </c>
      <c r="F56" s="2" t="inlineStr">
        <is>
          <t>Search tender awards and catalogues</t>
        </is>
      </c>
      <c r="G56" s="2" t="inlineStr">
        <is>
          <t>Procurement portal / manufacturer</t>
        </is>
      </c>
      <c r="H56" s="2" t="inlineStr">
        <is>
          <t>NEEDS_VERIFICATION</t>
        </is>
      </c>
    </row>
    <row r="57">
      <c r="A57" s="2" t="inlineStr">
        <is>
          <t>UAE</t>
        </is>
      </c>
      <c r="B57" s="2" t="inlineStr">
        <is>
          <t>Mediclinic Parkview Hospital</t>
        </is>
      </c>
      <c r="C57" s="2" t="inlineStr">
        <is>
          <t>HD stations</t>
        </is>
      </c>
      <c r="D57" s="2" t="inlineStr">
        <is>
          <t>MEDIUM</t>
        </is>
      </c>
      <c r="E57" s="2" t="inlineStr">
        <is>
          <t>Facility-level station count not disclosed in source</t>
        </is>
      </c>
      <c r="F57" s="2" t="inlineStr">
        <is>
          <t>Obtain facility capacity report or licensing record</t>
        </is>
      </c>
      <c r="G57" s="2" t="inlineStr">
        <is>
          <t>Health authority / facility annual report</t>
        </is>
      </c>
      <c r="H57" s="2" t="inlineStr">
        <is>
          <t>NEEDS_VERIFICATION</t>
        </is>
      </c>
    </row>
    <row r="58">
      <c r="A58" s="2" t="inlineStr">
        <is>
          <t>UAE</t>
        </is>
      </c>
      <c r="B58" s="2" t="inlineStr">
        <is>
          <t>Mediclinic Parkview Hospital</t>
        </is>
      </c>
      <c r="C58" s="2" t="inlineStr">
        <is>
          <t>Ownership</t>
        </is>
      </c>
      <c r="D58" s="2" t="inlineStr">
        <is>
          <t>MEDIUM</t>
        </is>
      </c>
      <c r="E58" s="2" t="inlineStr">
        <is>
          <t>Source verifies HD service but not ownership</t>
        </is>
      </c>
      <c r="F58" s="2" t="inlineStr">
        <is>
          <t>Verify ownership from regulator/facility registry</t>
        </is>
      </c>
      <c r="G58" s="2" t="inlineStr">
        <is>
          <t>Health authority facility registry</t>
        </is>
      </c>
      <c r="H58" s="2" t="inlineStr">
        <is>
          <t>NEEDS_VERIFICATION</t>
        </is>
      </c>
    </row>
    <row r="59">
      <c r="A59" s="2" t="inlineStr">
        <is>
          <t>UAE</t>
        </is>
      </c>
      <c r="B59" s="2" t="inlineStr">
        <is>
          <t>Mediclinic Parkview Hospital</t>
        </is>
      </c>
      <c r="C59" s="2" t="inlineStr">
        <is>
          <t>Distributor</t>
        </is>
      </c>
      <c r="D59" s="2" t="inlineStr">
        <is>
          <t>LOW</t>
        </is>
      </c>
      <c r="E59" s="2" t="inlineStr">
        <is>
          <t>No facility-specific distributor relationship verified</t>
        </is>
      </c>
      <c r="F59" s="2" t="inlineStr">
        <is>
          <t>Search procurement awards and supplier lists</t>
        </is>
      </c>
      <c r="G59" s="2" t="inlineStr">
        <is>
          <t>Procurement portal / facility procurement</t>
        </is>
      </c>
      <c r="H59" s="2" t="inlineStr">
        <is>
          <t>NEEDS_VERIFICATION</t>
        </is>
      </c>
    </row>
    <row r="60">
      <c r="A60" s="2" t="inlineStr">
        <is>
          <t>UAE</t>
        </is>
      </c>
      <c r="B60" s="2" t="inlineStr">
        <is>
          <t>Mediclinic Parkview Hospital</t>
        </is>
      </c>
      <c r="C60" s="2" t="inlineStr">
        <is>
          <t>Manufacturer/brand</t>
        </is>
      </c>
      <c r="D60" s="2" t="inlineStr">
        <is>
          <t>LOW</t>
        </is>
      </c>
      <c r="E60" s="2" t="inlineStr">
        <is>
          <t>No facility-specific brand relationship verified</t>
        </is>
      </c>
      <c r="F60" s="2" t="inlineStr">
        <is>
          <t>Search tender awards and catalogues</t>
        </is>
      </c>
      <c r="G60" s="2" t="inlineStr">
        <is>
          <t>Procurement portal / manufacturer</t>
        </is>
      </c>
      <c r="H60" s="2" t="inlineStr">
        <is>
          <t>NEEDS_VERIFICATION</t>
        </is>
      </c>
    </row>
    <row r="61">
      <c r="A61" s="2" t="inlineStr">
        <is>
          <t>UAE</t>
        </is>
      </c>
      <c r="B61" s="2" t="inlineStr">
        <is>
          <t>NMC Specialty Hospital Al Nadha</t>
        </is>
      </c>
      <c r="C61" s="2" t="inlineStr">
        <is>
          <t>HD stations</t>
        </is>
      </c>
      <c r="D61" s="2" t="inlineStr">
        <is>
          <t>MEDIUM</t>
        </is>
      </c>
      <c r="E61" s="2" t="inlineStr">
        <is>
          <t>Facility-level station count not disclosed in source</t>
        </is>
      </c>
      <c r="F61" s="2" t="inlineStr">
        <is>
          <t>Obtain facility capacity report or licensing record</t>
        </is>
      </c>
      <c r="G61" s="2" t="inlineStr">
        <is>
          <t>Health authority / facility annual report</t>
        </is>
      </c>
      <c r="H61" s="2" t="inlineStr">
        <is>
          <t>NEEDS_VERIFICATION</t>
        </is>
      </c>
    </row>
    <row r="62">
      <c r="A62" s="2" t="inlineStr">
        <is>
          <t>UAE</t>
        </is>
      </c>
      <c r="B62" s="2" t="inlineStr">
        <is>
          <t>NMC Specialty Hospital Al Nadha</t>
        </is>
      </c>
      <c r="C62" s="2" t="inlineStr">
        <is>
          <t>Ownership</t>
        </is>
      </c>
      <c r="D62" s="2" t="inlineStr">
        <is>
          <t>MEDIUM</t>
        </is>
      </c>
      <c r="E62" s="2" t="inlineStr">
        <is>
          <t>Source verifies HD service but not ownership</t>
        </is>
      </c>
      <c r="F62" s="2" t="inlineStr">
        <is>
          <t>Verify ownership from regulator/facility registry</t>
        </is>
      </c>
      <c r="G62" s="2" t="inlineStr">
        <is>
          <t>Health authority facility registry</t>
        </is>
      </c>
      <c r="H62" s="2" t="inlineStr">
        <is>
          <t>NEEDS_VERIFICATION</t>
        </is>
      </c>
    </row>
    <row r="63">
      <c r="A63" s="2" t="inlineStr">
        <is>
          <t>UAE</t>
        </is>
      </c>
      <c r="B63" s="2" t="inlineStr">
        <is>
          <t>NMC Specialty Hospital Al Nadha</t>
        </is>
      </c>
      <c r="C63" s="2" t="inlineStr">
        <is>
          <t>Distributor</t>
        </is>
      </c>
      <c r="D63" s="2" t="inlineStr">
        <is>
          <t>LOW</t>
        </is>
      </c>
      <c r="E63" s="2" t="inlineStr">
        <is>
          <t>No facility-specific distributor relationship verified</t>
        </is>
      </c>
      <c r="F63" s="2" t="inlineStr">
        <is>
          <t>Search procurement awards and supplier lists</t>
        </is>
      </c>
      <c r="G63" s="2" t="inlineStr">
        <is>
          <t>Procurement portal / facility procurement</t>
        </is>
      </c>
      <c r="H63" s="2" t="inlineStr">
        <is>
          <t>NEEDS_VERIFICATION</t>
        </is>
      </c>
    </row>
    <row r="64">
      <c r="A64" s="2" t="inlineStr">
        <is>
          <t>UAE</t>
        </is>
      </c>
      <c r="B64" s="2" t="inlineStr">
        <is>
          <t>NMC Specialty Hospital Al Nadha</t>
        </is>
      </c>
      <c r="C64" s="2" t="inlineStr">
        <is>
          <t>Manufacturer/brand</t>
        </is>
      </c>
      <c r="D64" s="2" t="inlineStr">
        <is>
          <t>LOW</t>
        </is>
      </c>
      <c r="E64" s="2" t="inlineStr">
        <is>
          <t>No facility-specific brand relationship verified</t>
        </is>
      </c>
      <c r="F64" s="2" t="inlineStr">
        <is>
          <t>Search tender awards and catalogues</t>
        </is>
      </c>
      <c r="G64" s="2" t="inlineStr">
        <is>
          <t>Procurement portal / manufacturer</t>
        </is>
      </c>
      <c r="H64" s="2" t="inlineStr">
        <is>
          <t>NEEDS_VERIFICATION</t>
        </is>
      </c>
    </row>
    <row r="65">
      <c r="A65" s="2" t="inlineStr">
        <is>
          <t>UAE</t>
        </is>
      </c>
      <c r="B65" s="2" t="inlineStr">
        <is>
          <t>Al Mazroui Medical Center</t>
        </is>
      </c>
      <c r="C65" s="2" t="inlineStr">
        <is>
          <t>HD stations</t>
        </is>
      </c>
      <c r="D65" s="2" t="inlineStr">
        <is>
          <t>MEDIUM</t>
        </is>
      </c>
      <c r="E65" s="2" t="inlineStr">
        <is>
          <t>Facility-level station count not disclosed in source</t>
        </is>
      </c>
      <c r="F65" s="2" t="inlineStr">
        <is>
          <t>Obtain facility capacity report or licensing record</t>
        </is>
      </c>
      <c r="G65" s="2" t="inlineStr">
        <is>
          <t>Health authority / facility annual report</t>
        </is>
      </c>
      <c r="H65" s="2" t="inlineStr">
        <is>
          <t>NEEDS_VERIFICATION</t>
        </is>
      </c>
    </row>
    <row r="66">
      <c r="A66" s="2" t="inlineStr">
        <is>
          <t>UAE</t>
        </is>
      </c>
      <c r="B66" s="2" t="inlineStr">
        <is>
          <t>Al Mazroui Medical Center</t>
        </is>
      </c>
      <c r="C66" s="2" t="inlineStr">
        <is>
          <t>Ownership</t>
        </is>
      </c>
      <c r="D66" s="2" t="inlineStr">
        <is>
          <t>MEDIUM</t>
        </is>
      </c>
      <c r="E66" s="2" t="inlineStr">
        <is>
          <t>Source verifies HD service but not ownership</t>
        </is>
      </c>
      <c r="F66" s="2" t="inlineStr">
        <is>
          <t>Verify ownership from regulator/facility registry</t>
        </is>
      </c>
      <c r="G66" s="2" t="inlineStr">
        <is>
          <t>Health authority facility registry</t>
        </is>
      </c>
      <c r="H66" s="2" t="inlineStr">
        <is>
          <t>NEEDS_VERIFICATION</t>
        </is>
      </c>
    </row>
    <row r="67">
      <c r="A67" s="2" t="inlineStr">
        <is>
          <t>UAE</t>
        </is>
      </c>
      <c r="B67" s="2" t="inlineStr">
        <is>
          <t>Al Mazroui Medical Center</t>
        </is>
      </c>
      <c r="C67" s="2" t="inlineStr">
        <is>
          <t>Distributor</t>
        </is>
      </c>
      <c r="D67" s="2" t="inlineStr">
        <is>
          <t>LOW</t>
        </is>
      </c>
      <c r="E67" s="2" t="inlineStr">
        <is>
          <t>No facility-specific distributor relationship verified</t>
        </is>
      </c>
      <c r="F67" s="2" t="inlineStr">
        <is>
          <t>Search procurement awards and supplier lists</t>
        </is>
      </c>
      <c r="G67" s="2" t="inlineStr">
        <is>
          <t>Procurement portal / facility procurement</t>
        </is>
      </c>
      <c r="H67" s="2" t="inlineStr">
        <is>
          <t>NEEDS_VERIFICATION</t>
        </is>
      </c>
    </row>
    <row r="68">
      <c r="A68" s="2" t="inlineStr">
        <is>
          <t>UAE</t>
        </is>
      </c>
      <c r="B68" s="2" t="inlineStr">
        <is>
          <t>Al Mazroui Medical Center</t>
        </is>
      </c>
      <c r="C68" s="2" t="inlineStr">
        <is>
          <t>Manufacturer/brand</t>
        </is>
      </c>
      <c r="D68" s="2" t="inlineStr">
        <is>
          <t>LOW</t>
        </is>
      </c>
      <c r="E68" s="2" t="inlineStr">
        <is>
          <t>No facility-specific brand relationship verified</t>
        </is>
      </c>
      <c r="F68" s="2" t="inlineStr">
        <is>
          <t>Search tender awards and catalogues</t>
        </is>
      </c>
      <c r="G68" s="2" t="inlineStr">
        <is>
          <t>Procurement portal / manufacturer</t>
        </is>
      </c>
      <c r="H68" s="2" t="inlineStr">
        <is>
          <t>NEEDS_VERIFICATION</t>
        </is>
      </c>
    </row>
    <row r="69">
      <c r="A69" s="2" t="inlineStr">
        <is>
          <t>UAE</t>
        </is>
      </c>
      <c r="B69" s="2" t="inlineStr">
        <is>
          <t>Nephro Care Home Hemodialysis</t>
        </is>
      </c>
      <c r="C69" s="2" t="inlineStr">
        <is>
          <t>HD stations</t>
        </is>
      </c>
      <c r="D69" s="2" t="inlineStr">
        <is>
          <t>MEDIUM</t>
        </is>
      </c>
      <c r="E69" s="2" t="inlineStr">
        <is>
          <t>Facility-level station count not disclosed in source</t>
        </is>
      </c>
      <c r="F69" s="2" t="inlineStr">
        <is>
          <t>Obtain facility capacity report or licensing record</t>
        </is>
      </c>
      <c r="G69" s="2" t="inlineStr">
        <is>
          <t>Health authority / facility annual report</t>
        </is>
      </c>
      <c r="H69" s="2" t="inlineStr">
        <is>
          <t>NEEDS_VERIFICATION</t>
        </is>
      </c>
    </row>
    <row r="70">
      <c r="A70" s="2" t="inlineStr">
        <is>
          <t>UAE</t>
        </is>
      </c>
      <c r="B70" s="2" t="inlineStr">
        <is>
          <t>Nephro Care Home Hemodialysis</t>
        </is>
      </c>
      <c r="C70" s="2" t="inlineStr">
        <is>
          <t>Ownership</t>
        </is>
      </c>
      <c r="D70" s="2" t="inlineStr">
        <is>
          <t>MEDIUM</t>
        </is>
      </c>
      <c r="E70" s="2" t="inlineStr">
        <is>
          <t>Source verifies HD service but not ownership</t>
        </is>
      </c>
      <c r="F70" s="2" t="inlineStr">
        <is>
          <t>Verify ownership from regulator/facility registry</t>
        </is>
      </c>
      <c r="G70" s="2" t="inlineStr">
        <is>
          <t>Health authority facility registry</t>
        </is>
      </c>
      <c r="H70" s="2" t="inlineStr">
        <is>
          <t>NEEDS_VERIFICATION</t>
        </is>
      </c>
    </row>
    <row r="71">
      <c r="A71" s="2" t="inlineStr">
        <is>
          <t>UAE</t>
        </is>
      </c>
      <c r="B71" s="2" t="inlineStr">
        <is>
          <t>Nephro Care Home Hemodialysis</t>
        </is>
      </c>
      <c r="C71" s="2" t="inlineStr">
        <is>
          <t>Distributor</t>
        </is>
      </c>
      <c r="D71" s="2" t="inlineStr">
        <is>
          <t>LOW</t>
        </is>
      </c>
      <c r="E71" s="2" t="inlineStr">
        <is>
          <t>No facility-specific distributor relationship verified</t>
        </is>
      </c>
      <c r="F71" s="2" t="inlineStr">
        <is>
          <t>Search procurement awards and supplier lists</t>
        </is>
      </c>
      <c r="G71" s="2" t="inlineStr">
        <is>
          <t>Procurement portal / facility procurement</t>
        </is>
      </c>
      <c r="H71" s="2" t="inlineStr">
        <is>
          <t>NEEDS_VERIFICATION</t>
        </is>
      </c>
    </row>
    <row r="72">
      <c r="A72" s="2" t="inlineStr">
        <is>
          <t>UAE</t>
        </is>
      </c>
      <c r="B72" s="2" t="inlineStr">
        <is>
          <t>Nephro Care Home Hemodialysis</t>
        </is>
      </c>
      <c r="C72" s="2" t="inlineStr">
        <is>
          <t>Manufacturer/brand</t>
        </is>
      </c>
      <c r="D72" s="2" t="inlineStr">
        <is>
          <t>LOW</t>
        </is>
      </c>
      <c r="E72" s="2" t="inlineStr">
        <is>
          <t>No facility-specific brand relationship verified</t>
        </is>
      </c>
      <c r="F72" s="2" t="inlineStr">
        <is>
          <t>Search tender awards and catalogues</t>
        </is>
      </c>
      <c r="G72" s="2" t="inlineStr">
        <is>
          <t>Procurement portal / manufacturer</t>
        </is>
      </c>
      <c r="H72" s="2" t="inlineStr">
        <is>
          <t>NEEDS_VERIFICATION</t>
        </is>
      </c>
    </row>
    <row r="73">
      <c r="A73" s="2" t="inlineStr">
        <is>
          <t>UAE</t>
        </is>
      </c>
      <c r="B73" s="2" t="inlineStr">
        <is>
          <t>SEHA Dialysis Services - Al Mafraq Hospital</t>
        </is>
      </c>
      <c r="C73" s="2" t="inlineStr">
        <is>
          <t>HD stations</t>
        </is>
      </c>
      <c r="D73" s="2" t="inlineStr">
        <is>
          <t>MEDIUM</t>
        </is>
      </c>
      <c r="E73" s="2" t="inlineStr">
        <is>
          <t>Facility-level station count not disclosed in source</t>
        </is>
      </c>
      <c r="F73" s="2" t="inlineStr">
        <is>
          <t>Obtain facility capacity report or licensing record</t>
        </is>
      </c>
      <c r="G73" s="2" t="inlineStr">
        <is>
          <t>Health authority / facility annual report</t>
        </is>
      </c>
      <c r="H73" s="2" t="inlineStr">
        <is>
          <t>NEEDS_VERIFICATION</t>
        </is>
      </c>
    </row>
    <row r="74">
      <c r="A74" s="2" t="inlineStr">
        <is>
          <t>UAE</t>
        </is>
      </c>
      <c r="B74" s="2" t="inlineStr">
        <is>
          <t>SEHA Dialysis Services - Al Mafraq Hospital</t>
        </is>
      </c>
      <c r="C74" s="2" t="inlineStr">
        <is>
          <t>Distributor</t>
        </is>
      </c>
      <c r="D74" s="2" t="inlineStr">
        <is>
          <t>LOW</t>
        </is>
      </c>
      <c r="E74" s="2" t="inlineStr">
        <is>
          <t>No facility-specific distributor relationship verified</t>
        </is>
      </c>
      <c r="F74" s="2" t="inlineStr">
        <is>
          <t>Search procurement awards and supplier lists</t>
        </is>
      </c>
      <c r="G74" s="2" t="inlineStr">
        <is>
          <t>Procurement portal / facility procurement</t>
        </is>
      </c>
      <c r="H74" s="2" t="inlineStr">
        <is>
          <t>NEEDS_VERIFICATION</t>
        </is>
      </c>
    </row>
    <row r="75">
      <c r="A75" s="2" t="inlineStr">
        <is>
          <t>UAE</t>
        </is>
      </c>
      <c r="B75" s="2" t="inlineStr">
        <is>
          <t>SEHA Dialysis Services - Al Mafraq Hospital</t>
        </is>
      </c>
      <c r="C75" s="2" t="inlineStr">
        <is>
          <t>Manufacturer/brand</t>
        </is>
      </c>
      <c r="D75" s="2" t="inlineStr">
        <is>
          <t>LOW</t>
        </is>
      </c>
      <c r="E75" s="2" t="inlineStr">
        <is>
          <t>No facility-specific brand relationship verified</t>
        </is>
      </c>
      <c r="F75" s="2" t="inlineStr">
        <is>
          <t>Search tender awards and catalogues</t>
        </is>
      </c>
      <c r="G75" s="2" t="inlineStr">
        <is>
          <t>Procurement portal / manufacturer</t>
        </is>
      </c>
      <c r="H75" s="2" t="inlineStr">
        <is>
          <t>NEEDS_VERIFICATION</t>
        </is>
      </c>
    </row>
    <row r="76">
      <c r="A76" s="2" t="inlineStr">
        <is>
          <t>UAE</t>
        </is>
      </c>
      <c r="B76" s="2" t="inlineStr">
        <is>
          <t>SEHA Dialysis Services - Sheikh Khalifa Medical City</t>
        </is>
      </c>
      <c r="C76" s="2" t="inlineStr">
        <is>
          <t>HD stations</t>
        </is>
      </c>
      <c r="D76" s="2" t="inlineStr">
        <is>
          <t>MEDIUM</t>
        </is>
      </c>
      <c r="E76" s="2" t="inlineStr">
        <is>
          <t>Facility-level station count not disclosed in source</t>
        </is>
      </c>
      <c r="F76" s="2" t="inlineStr">
        <is>
          <t>Obtain facility capacity report or licensing record</t>
        </is>
      </c>
      <c r="G76" s="2" t="inlineStr">
        <is>
          <t>Health authority / facility annual report</t>
        </is>
      </c>
      <c r="H76" s="2" t="inlineStr">
        <is>
          <t>NEEDS_VERIFICATION</t>
        </is>
      </c>
    </row>
    <row r="77">
      <c r="A77" s="2" t="inlineStr">
        <is>
          <t>UAE</t>
        </is>
      </c>
      <c r="B77" s="2" t="inlineStr">
        <is>
          <t>SEHA Dialysis Services - Sheikh Khalifa Medical City</t>
        </is>
      </c>
      <c r="C77" s="2" t="inlineStr">
        <is>
          <t>Distributor</t>
        </is>
      </c>
      <c r="D77" s="2" t="inlineStr">
        <is>
          <t>LOW</t>
        </is>
      </c>
      <c r="E77" s="2" t="inlineStr">
        <is>
          <t>No facility-specific distributor relationship verified</t>
        </is>
      </c>
      <c r="F77" s="2" t="inlineStr">
        <is>
          <t>Search procurement awards and supplier lists</t>
        </is>
      </c>
      <c r="G77" s="2" t="inlineStr">
        <is>
          <t>Procurement portal / facility procurement</t>
        </is>
      </c>
      <c r="H77" s="2" t="inlineStr">
        <is>
          <t>NEEDS_VERIFICATION</t>
        </is>
      </c>
    </row>
    <row r="78">
      <c r="A78" s="2" t="inlineStr">
        <is>
          <t>UAE</t>
        </is>
      </c>
      <c r="B78" s="2" t="inlineStr">
        <is>
          <t>SEHA Dialysis Services - Sheikh Khalifa Medical City</t>
        </is>
      </c>
      <c r="C78" s="2" t="inlineStr">
        <is>
          <t>Manufacturer/brand</t>
        </is>
      </c>
      <c r="D78" s="2" t="inlineStr">
        <is>
          <t>LOW</t>
        </is>
      </c>
      <c r="E78" s="2" t="inlineStr">
        <is>
          <t>No facility-specific brand relationship verified</t>
        </is>
      </c>
      <c r="F78" s="2" t="inlineStr">
        <is>
          <t>Search tender awards and catalogues</t>
        </is>
      </c>
      <c r="G78" s="2" t="inlineStr">
        <is>
          <t>Procurement portal / manufacturer</t>
        </is>
      </c>
      <c r="H78" s="2" t="inlineStr">
        <is>
          <t>NEEDS_VERIFICATION</t>
        </is>
      </c>
    </row>
    <row r="79">
      <c r="A79" s="2" t="inlineStr">
        <is>
          <t>UAE</t>
        </is>
      </c>
      <c r="B79" s="2" t="inlineStr">
        <is>
          <t>SEHA Dialysis Services - Tawam Hospital</t>
        </is>
      </c>
      <c r="C79" s="2" t="inlineStr">
        <is>
          <t>HD stations</t>
        </is>
      </c>
      <c r="D79" s="2" t="inlineStr">
        <is>
          <t>MEDIUM</t>
        </is>
      </c>
      <c r="E79" s="2" t="inlineStr">
        <is>
          <t>Facility-level station count not disclosed in source</t>
        </is>
      </c>
      <c r="F79" s="2" t="inlineStr">
        <is>
          <t>Obtain facility capacity report or licensing record</t>
        </is>
      </c>
      <c r="G79" s="2" t="inlineStr">
        <is>
          <t>Health authority / facility annual report</t>
        </is>
      </c>
      <c r="H79" s="2" t="inlineStr">
        <is>
          <t>NEEDS_VERIFICATION</t>
        </is>
      </c>
    </row>
    <row r="80">
      <c r="A80" s="2" t="inlineStr">
        <is>
          <t>UAE</t>
        </is>
      </c>
      <c r="B80" s="2" t="inlineStr">
        <is>
          <t>SEHA Dialysis Services - Tawam Hospital</t>
        </is>
      </c>
      <c r="C80" s="2" t="inlineStr">
        <is>
          <t>Distributor</t>
        </is>
      </c>
      <c r="D80" s="2" t="inlineStr">
        <is>
          <t>LOW</t>
        </is>
      </c>
      <c r="E80" s="2" t="inlineStr">
        <is>
          <t>No facility-specific distributor relationship verified</t>
        </is>
      </c>
      <c r="F80" s="2" t="inlineStr">
        <is>
          <t>Search procurement awards and supplier lists</t>
        </is>
      </c>
      <c r="G80" s="2" t="inlineStr">
        <is>
          <t>Procurement portal / facility procurement</t>
        </is>
      </c>
      <c r="H80" s="2" t="inlineStr">
        <is>
          <t>NEEDS_VERIFICATION</t>
        </is>
      </c>
    </row>
    <row r="81">
      <c r="A81" s="2" t="inlineStr">
        <is>
          <t>UAE</t>
        </is>
      </c>
      <c r="B81" s="2" t="inlineStr">
        <is>
          <t>SEHA Dialysis Services - Tawam Hospital</t>
        </is>
      </c>
      <c r="C81" s="2" t="inlineStr">
        <is>
          <t>Manufacturer/brand</t>
        </is>
      </c>
      <c r="D81" s="2" t="inlineStr">
        <is>
          <t>LOW</t>
        </is>
      </c>
      <c r="E81" s="2" t="inlineStr">
        <is>
          <t>No facility-specific brand relationship verified</t>
        </is>
      </c>
      <c r="F81" s="2" t="inlineStr">
        <is>
          <t>Search tender awards and catalogues</t>
        </is>
      </c>
      <c r="G81" s="2" t="inlineStr">
        <is>
          <t>Procurement portal / manufacturer</t>
        </is>
      </c>
      <c r="H81" s="2" t="inlineStr">
        <is>
          <t>NEEDS_VERIFICATION</t>
        </is>
      </c>
    </row>
    <row r="82">
      <c r="A82" s="2" t="inlineStr">
        <is>
          <t>UAE</t>
        </is>
      </c>
      <c r="B82" s="2" t="inlineStr">
        <is>
          <t>SEHA Dialysis Services - Al Wagan Hospital</t>
        </is>
      </c>
      <c r="C82" s="2" t="inlineStr">
        <is>
          <t>HD stations</t>
        </is>
      </c>
      <c r="D82" s="2" t="inlineStr">
        <is>
          <t>MEDIUM</t>
        </is>
      </c>
      <c r="E82" s="2" t="inlineStr">
        <is>
          <t>Facility-level station count not disclosed in source</t>
        </is>
      </c>
      <c r="F82" s="2" t="inlineStr">
        <is>
          <t>Obtain facility capacity report or licensing record</t>
        </is>
      </c>
      <c r="G82" s="2" t="inlineStr">
        <is>
          <t>Health authority / facility annual report</t>
        </is>
      </c>
      <c r="H82" s="2" t="inlineStr">
        <is>
          <t>NEEDS_VERIFICATION</t>
        </is>
      </c>
    </row>
    <row r="83">
      <c r="A83" s="2" t="inlineStr">
        <is>
          <t>UAE</t>
        </is>
      </c>
      <c r="B83" s="2" t="inlineStr">
        <is>
          <t>SEHA Dialysis Services - Al Wagan Hospital</t>
        </is>
      </c>
      <c r="C83" s="2" t="inlineStr">
        <is>
          <t>Distributor</t>
        </is>
      </c>
      <c r="D83" s="2" t="inlineStr">
        <is>
          <t>LOW</t>
        </is>
      </c>
      <c r="E83" s="2" t="inlineStr">
        <is>
          <t>No facility-specific distributor relationship verified</t>
        </is>
      </c>
      <c r="F83" s="2" t="inlineStr">
        <is>
          <t>Search procurement awards and supplier lists</t>
        </is>
      </c>
      <c r="G83" s="2" t="inlineStr">
        <is>
          <t>Procurement portal / facility procurement</t>
        </is>
      </c>
      <c r="H83" s="2" t="inlineStr">
        <is>
          <t>NEEDS_VERIFICATION</t>
        </is>
      </c>
    </row>
    <row r="84">
      <c r="A84" s="2" t="inlineStr">
        <is>
          <t>UAE</t>
        </is>
      </c>
      <c r="B84" s="2" t="inlineStr">
        <is>
          <t>SEHA Dialysis Services - Al Wagan Hospital</t>
        </is>
      </c>
      <c r="C84" s="2" t="inlineStr">
        <is>
          <t>Manufacturer/brand</t>
        </is>
      </c>
      <c r="D84" s="2" t="inlineStr">
        <is>
          <t>LOW</t>
        </is>
      </c>
      <c r="E84" s="2" t="inlineStr">
        <is>
          <t>No facility-specific brand relationship verified</t>
        </is>
      </c>
      <c r="F84" s="2" t="inlineStr">
        <is>
          <t>Search tender awards and catalogues</t>
        </is>
      </c>
      <c r="G84" s="2" t="inlineStr">
        <is>
          <t>Procurement portal / manufacturer</t>
        </is>
      </c>
      <c r="H84" s="2" t="inlineStr">
        <is>
          <t>NEEDS_VERIFICATION</t>
        </is>
      </c>
    </row>
    <row r="85">
      <c r="A85" s="2" t="inlineStr">
        <is>
          <t>Qatar</t>
        </is>
      </c>
      <c r="B85" s="2" t="inlineStr">
        <is>
          <t>Fahad Bin Jassim Kidney Center</t>
        </is>
      </c>
      <c r="C85" s="2" t="inlineStr">
        <is>
          <t>Distributor</t>
        </is>
      </c>
      <c r="D85" s="2" t="inlineStr">
        <is>
          <t>LOW</t>
        </is>
      </c>
      <c r="E85" s="2" t="inlineStr">
        <is>
          <t>No facility-specific distributor relationship verified</t>
        </is>
      </c>
      <c r="F85" s="2" t="inlineStr">
        <is>
          <t>Search procurement awards and supplier lists</t>
        </is>
      </c>
      <c r="G85" s="2" t="inlineStr">
        <is>
          <t>Procurement portal / facility procurement</t>
        </is>
      </c>
      <c r="H85" s="2" t="inlineStr">
        <is>
          <t>NEEDS_VERIFICATION</t>
        </is>
      </c>
    </row>
    <row r="86">
      <c r="A86" s="2" t="inlineStr">
        <is>
          <t>Qatar</t>
        </is>
      </c>
      <c r="B86" s="2" t="inlineStr">
        <is>
          <t>Fahad Bin Jassim Kidney Center</t>
        </is>
      </c>
      <c r="C86" s="2" t="inlineStr">
        <is>
          <t>Manufacturer/brand</t>
        </is>
      </c>
      <c r="D86" s="2" t="inlineStr">
        <is>
          <t>LOW</t>
        </is>
      </c>
      <c r="E86" s="2" t="inlineStr">
        <is>
          <t>No facility-specific brand relationship verified</t>
        </is>
      </c>
      <c r="F86" s="2" t="inlineStr">
        <is>
          <t>Search tender awards and catalogues</t>
        </is>
      </c>
      <c r="G86" s="2" t="inlineStr">
        <is>
          <t>Procurement portal / manufacturer</t>
        </is>
      </c>
      <c r="H86" s="2" t="inlineStr">
        <is>
          <t>NEEDS_VERIFICATION</t>
        </is>
      </c>
    </row>
    <row r="87">
      <c r="A87" s="2" t="inlineStr">
        <is>
          <t>Qatar</t>
        </is>
      </c>
      <c r="B87" s="2" t="inlineStr">
        <is>
          <t>Al Khor Hospital Dialysis Unit</t>
        </is>
      </c>
      <c r="C87" s="2" t="inlineStr">
        <is>
          <t>Distributor</t>
        </is>
      </c>
      <c r="D87" s="2" t="inlineStr">
        <is>
          <t>LOW</t>
        </is>
      </c>
      <c r="E87" s="2" t="inlineStr">
        <is>
          <t>No facility-specific distributor relationship verified</t>
        </is>
      </c>
      <c r="F87" s="2" t="inlineStr">
        <is>
          <t>Search procurement awards and supplier lists</t>
        </is>
      </c>
      <c r="G87" s="2" t="inlineStr">
        <is>
          <t>Procurement portal / facility procurement</t>
        </is>
      </c>
      <c r="H87" s="2" t="inlineStr">
        <is>
          <t>NEEDS_VERIFICATION</t>
        </is>
      </c>
    </row>
    <row r="88">
      <c r="A88" s="2" t="inlineStr">
        <is>
          <t>Qatar</t>
        </is>
      </c>
      <c r="B88" s="2" t="inlineStr">
        <is>
          <t>Al Khor Hospital Dialysis Unit</t>
        </is>
      </c>
      <c r="C88" s="2" t="inlineStr">
        <is>
          <t>Manufacturer/brand</t>
        </is>
      </c>
      <c r="D88" s="2" t="inlineStr">
        <is>
          <t>LOW</t>
        </is>
      </c>
      <c r="E88" s="2" t="inlineStr">
        <is>
          <t>No facility-specific brand relationship verified</t>
        </is>
      </c>
      <c r="F88" s="2" t="inlineStr">
        <is>
          <t>Search tender awards and catalogues</t>
        </is>
      </c>
      <c r="G88" s="2" t="inlineStr">
        <is>
          <t>Procurement portal / manufacturer</t>
        </is>
      </c>
      <c r="H88" s="2" t="inlineStr">
        <is>
          <t>NEEDS_VERIFICATION</t>
        </is>
      </c>
    </row>
    <row r="89">
      <c r="A89" s="2" t="inlineStr">
        <is>
          <t>Qatar</t>
        </is>
      </c>
      <c r="B89" s="2" t="inlineStr">
        <is>
          <t>Al Wakra Hospital Dialysis Unit</t>
        </is>
      </c>
      <c r="C89" s="2" t="inlineStr">
        <is>
          <t>Distributor</t>
        </is>
      </c>
      <c r="D89" s="2" t="inlineStr">
        <is>
          <t>LOW</t>
        </is>
      </c>
      <c r="E89" s="2" t="inlineStr">
        <is>
          <t>No facility-specific distributor relationship verified</t>
        </is>
      </c>
      <c r="F89" s="2" t="inlineStr">
        <is>
          <t>Search procurement awards and supplier lists</t>
        </is>
      </c>
      <c r="G89" s="2" t="inlineStr">
        <is>
          <t>Procurement portal / facility procurement</t>
        </is>
      </c>
      <c r="H89" s="2" t="inlineStr">
        <is>
          <t>NEEDS_VERIFICATION</t>
        </is>
      </c>
    </row>
    <row r="90">
      <c r="A90" s="2" t="inlineStr">
        <is>
          <t>Qatar</t>
        </is>
      </c>
      <c r="B90" s="2" t="inlineStr">
        <is>
          <t>Al Wakra Hospital Dialysis Unit</t>
        </is>
      </c>
      <c r="C90" s="2" t="inlineStr">
        <is>
          <t>Manufacturer/brand</t>
        </is>
      </c>
      <c r="D90" s="2" t="inlineStr">
        <is>
          <t>LOW</t>
        </is>
      </c>
      <c r="E90" s="2" t="inlineStr">
        <is>
          <t>No facility-specific brand relationship verified</t>
        </is>
      </c>
      <c r="F90" s="2" t="inlineStr">
        <is>
          <t>Search tender awards and catalogues</t>
        </is>
      </c>
      <c r="G90" s="2" t="inlineStr">
        <is>
          <t>Procurement portal / manufacturer</t>
        </is>
      </c>
      <c r="H90" s="2" t="inlineStr">
        <is>
          <t>NEEDS_VERIFICATION</t>
        </is>
      </c>
    </row>
    <row r="91">
      <c r="A91" s="2" t="inlineStr">
        <is>
          <t>Qatar</t>
        </is>
      </c>
      <c r="B91" s="2" t="inlineStr">
        <is>
          <t>Al Wakra Health Center Dialysis Unit</t>
        </is>
      </c>
      <c r="C91" s="2" t="inlineStr">
        <is>
          <t>Distributor</t>
        </is>
      </c>
      <c r="D91" s="2" t="inlineStr">
        <is>
          <t>LOW</t>
        </is>
      </c>
      <c r="E91" s="2" t="inlineStr">
        <is>
          <t>No facility-specific distributor relationship verified</t>
        </is>
      </c>
      <c r="F91" s="2" t="inlineStr">
        <is>
          <t>Search procurement awards and supplier lists</t>
        </is>
      </c>
      <c r="G91" s="2" t="inlineStr">
        <is>
          <t>Procurement portal / facility procurement</t>
        </is>
      </c>
      <c r="H91" s="2" t="inlineStr">
        <is>
          <t>NEEDS_VERIFICATION</t>
        </is>
      </c>
    </row>
    <row r="92">
      <c r="A92" s="2" t="inlineStr">
        <is>
          <t>Qatar</t>
        </is>
      </c>
      <c r="B92" s="2" t="inlineStr">
        <is>
          <t>Al Wakra Health Center Dialysis Unit</t>
        </is>
      </c>
      <c r="C92" s="2" t="inlineStr">
        <is>
          <t>Manufacturer/brand</t>
        </is>
      </c>
      <c r="D92" s="2" t="inlineStr">
        <is>
          <t>LOW</t>
        </is>
      </c>
      <c r="E92" s="2" t="inlineStr">
        <is>
          <t>No facility-specific brand relationship verified</t>
        </is>
      </c>
      <c r="F92" s="2" t="inlineStr">
        <is>
          <t>Search tender awards and catalogues</t>
        </is>
      </c>
      <c r="G92" s="2" t="inlineStr">
        <is>
          <t>Procurement portal / manufacturer</t>
        </is>
      </c>
      <c r="H92" s="2" t="inlineStr">
        <is>
          <t>NEEDS_VERIFICATION</t>
        </is>
      </c>
    </row>
    <row r="93">
      <c r="A93" s="2" t="inlineStr">
        <is>
          <t>Qatar</t>
        </is>
      </c>
      <c r="B93" s="2" t="inlineStr">
        <is>
          <t>Al Sheehaniya Health Center Dialysis Unit</t>
        </is>
      </c>
      <c r="C93" s="2" t="inlineStr">
        <is>
          <t>Distributor</t>
        </is>
      </c>
      <c r="D93" s="2" t="inlineStr">
        <is>
          <t>LOW</t>
        </is>
      </c>
      <c r="E93" s="2" t="inlineStr">
        <is>
          <t>No facility-specific distributor relationship verified</t>
        </is>
      </c>
      <c r="F93" s="2" t="inlineStr">
        <is>
          <t>Search procurement awards and supplier lists</t>
        </is>
      </c>
      <c r="G93" s="2" t="inlineStr">
        <is>
          <t>Procurement portal / facility procurement</t>
        </is>
      </c>
      <c r="H93" s="2" t="inlineStr">
        <is>
          <t>NEEDS_VERIFICATION</t>
        </is>
      </c>
    </row>
    <row r="94">
      <c r="A94" s="2" t="inlineStr">
        <is>
          <t>Qatar</t>
        </is>
      </c>
      <c r="B94" s="2" t="inlineStr">
        <is>
          <t>Al Sheehaniya Health Center Dialysis Unit</t>
        </is>
      </c>
      <c r="C94" s="2" t="inlineStr">
        <is>
          <t>Manufacturer/brand</t>
        </is>
      </c>
      <c r="D94" s="2" t="inlineStr">
        <is>
          <t>LOW</t>
        </is>
      </c>
      <c r="E94" s="2" t="inlineStr">
        <is>
          <t>No facility-specific brand relationship verified</t>
        </is>
      </c>
      <c r="F94" s="2" t="inlineStr">
        <is>
          <t>Search tender awards and catalogues</t>
        </is>
      </c>
      <c r="G94" s="2" t="inlineStr">
        <is>
          <t>Procurement portal / manufacturer</t>
        </is>
      </c>
      <c r="H94" s="2" t="inlineStr">
        <is>
          <t>NEEDS_VERIFICATION</t>
        </is>
      </c>
    </row>
    <row r="95">
      <c r="A95" s="2" t="inlineStr">
        <is>
          <t>Qatar</t>
        </is>
      </c>
      <c r="B95" s="2" t="inlineStr">
        <is>
          <t>Al Shamal Medical Center Dialysis Unit</t>
        </is>
      </c>
      <c r="C95" s="2" t="inlineStr">
        <is>
          <t>Distributor</t>
        </is>
      </c>
      <c r="D95" s="2" t="inlineStr">
        <is>
          <t>LOW</t>
        </is>
      </c>
      <c r="E95" s="2" t="inlineStr">
        <is>
          <t>No facility-specific distributor relationship verified</t>
        </is>
      </c>
      <c r="F95" s="2" t="inlineStr">
        <is>
          <t>Search procurement awards and supplier lists</t>
        </is>
      </c>
      <c r="G95" s="2" t="inlineStr">
        <is>
          <t>Procurement portal / facility procurement</t>
        </is>
      </c>
      <c r="H95" s="2" t="inlineStr">
        <is>
          <t>NEEDS_VERIFICATION</t>
        </is>
      </c>
    </row>
    <row r="96">
      <c r="A96" s="2" t="inlineStr">
        <is>
          <t>Qatar</t>
        </is>
      </c>
      <c r="B96" s="2" t="inlineStr">
        <is>
          <t>Al Shamal Medical Center Dialysis Unit</t>
        </is>
      </c>
      <c r="C96" s="2" t="inlineStr">
        <is>
          <t>Manufacturer/brand</t>
        </is>
      </c>
      <c r="D96" s="2" t="inlineStr">
        <is>
          <t>LOW</t>
        </is>
      </c>
      <c r="E96" s="2" t="inlineStr">
        <is>
          <t>No facility-specific brand relationship verified</t>
        </is>
      </c>
      <c r="F96" s="2" t="inlineStr">
        <is>
          <t>Search tender awards and catalogues</t>
        </is>
      </c>
      <c r="G96" s="2" t="inlineStr">
        <is>
          <t>Procurement portal / manufacturer</t>
        </is>
      </c>
      <c r="H96" s="2" t="inlineStr">
        <is>
          <t>NEEDS_VERIFICATION</t>
        </is>
      </c>
    </row>
    <row r="97">
      <c r="A97" s="2" t="inlineStr">
        <is>
          <t>Qatar</t>
        </is>
      </c>
      <c r="B97" s="2" t="inlineStr">
        <is>
          <t>Muaither Health Center Ambulatory Dialysis Unit</t>
        </is>
      </c>
      <c r="C97" s="2" t="inlineStr">
        <is>
          <t>HD stations</t>
        </is>
      </c>
      <c r="D97" s="2" t="inlineStr">
        <is>
          <t>MEDIUM</t>
        </is>
      </c>
      <c r="E97" s="2" t="inlineStr">
        <is>
          <t>Facility-level station count not disclosed in source</t>
        </is>
      </c>
      <c r="F97" s="2" t="inlineStr">
        <is>
          <t>Obtain facility capacity report or licensing record</t>
        </is>
      </c>
      <c r="G97" s="2" t="inlineStr">
        <is>
          <t>Health authority / facility annual report</t>
        </is>
      </c>
      <c r="H97" s="2" t="inlineStr">
        <is>
          <t>NEEDS_VERIFICATION</t>
        </is>
      </c>
    </row>
    <row r="98">
      <c r="A98" s="2" t="inlineStr">
        <is>
          <t>Qatar</t>
        </is>
      </c>
      <c r="B98" s="2" t="inlineStr">
        <is>
          <t>Muaither Health Center Ambulatory Dialysis Unit</t>
        </is>
      </c>
      <c r="C98" s="2" t="inlineStr">
        <is>
          <t>Distributor</t>
        </is>
      </c>
      <c r="D98" s="2" t="inlineStr">
        <is>
          <t>LOW</t>
        </is>
      </c>
      <c r="E98" s="2" t="inlineStr">
        <is>
          <t>No facility-specific distributor relationship verified</t>
        </is>
      </c>
      <c r="F98" s="2" t="inlineStr">
        <is>
          <t>Search procurement awards and supplier lists</t>
        </is>
      </c>
      <c r="G98" s="2" t="inlineStr">
        <is>
          <t>Procurement portal / facility procurement</t>
        </is>
      </c>
      <c r="H98" s="2" t="inlineStr">
        <is>
          <t>NEEDS_VERIFICATION</t>
        </is>
      </c>
    </row>
    <row r="99">
      <c r="A99" s="2" t="inlineStr">
        <is>
          <t>Qatar</t>
        </is>
      </c>
      <c r="B99" s="2" t="inlineStr">
        <is>
          <t>Muaither Health Center Ambulatory Dialysis Unit</t>
        </is>
      </c>
      <c r="C99" s="2" t="inlineStr">
        <is>
          <t>Manufacturer/brand</t>
        </is>
      </c>
      <c r="D99" s="2" t="inlineStr">
        <is>
          <t>LOW</t>
        </is>
      </c>
      <c r="E99" s="2" t="inlineStr">
        <is>
          <t>No facility-specific brand relationship verified</t>
        </is>
      </c>
      <c r="F99" s="2" t="inlineStr">
        <is>
          <t>Search tender awards and catalogues</t>
        </is>
      </c>
      <c r="G99" s="2" t="inlineStr">
        <is>
          <t>Procurement portal / manufacturer</t>
        </is>
      </c>
      <c r="H99" s="2" t="inlineStr">
        <is>
          <t>NEEDS_VERIFICATION</t>
        </is>
      </c>
    </row>
    <row r="100">
      <c r="A100" s="2" t="inlineStr">
        <is>
          <t>Qatar</t>
        </is>
      </c>
      <c r="B100" s="2" t="inlineStr">
        <is>
          <t>Daam Specialized Care Center</t>
        </is>
      </c>
      <c r="C100" s="2" t="inlineStr">
        <is>
          <t>HD stations</t>
        </is>
      </c>
      <c r="D100" s="2" t="inlineStr">
        <is>
          <t>MEDIUM</t>
        </is>
      </c>
      <c r="E100" s="2" t="inlineStr">
        <is>
          <t>Facility-level station count not disclosed in source</t>
        </is>
      </c>
      <c r="F100" s="2" t="inlineStr">
        <is>
          <t>Obtain facility capacity report or licensing record</t>
        </is>
      </c>
      <c r="G100" s="2" t="inlineStr">
        <is>
          <t>Health authority / facility annual report</t>
        </is>
      </c>
      <c r="H100" s="2" t="inlineStr">
        <is>
          <t>NEEDS_VERIFICATION</t>
        </is>
      </c>
    </row>
    <row r="101">
      <c r="A101" s="2" t="inlineStr">
        <is>
          <t>Qatar</t>
        </is>
      </c>
      <c r="B101" s="2" t="inlineStr">
        <is>
          <t>Daam Specialized Care Center</t>
        </is>
      </c>
      <c r="C101" s="2" t="inlineStr">
        <is>
          <t>Distributor</t>
        </is>
      </c>
      <c r="D101" s="2" t="inlineStr">
        <is>
          <t>LOW</t>
        </is>
      </c>
      <c r="E101" s="2" t="inlineStr">
        <is>
          <t>No facility-specific distributor relationship verified</t>
        </is>
      </c>
      <c r="F101" s="2" t="inlineStr">
        <is>
          <t>Search procurement awards and supplier lists</t>
        </is>
      </c>
      <c r="G101" s="2" t="inlineStr">
        <is>
          <t>Procurement portal / facility procurement</t>
        </is>
      </c>
      <c r="H101" s="2" t="inlineStr">
        <is>
          <t>NEEDS_VERIFICATION</t>
        </is>
      </c>
    </row>
    <row r="102">
      <c r="A102" s="2" t="inlineStr">
        <is>
          <t>Qatar</t>
        </is>
      </c>
      <c r="B102" s="2" t="inlineStr">
        <is>
          <t>Daam Specialized Care Center</t>
        </is>
      </c>
      <c r="C102" s="2" t="inlineStr">
        <is>
          <t>Manufacturer/brand</t>
        </is>
      </c>
      <c r="D102" s="2" t="inlineStr">
        <is>
          <t>LOW</t>
        </is>
      </c>
      <c r="E102" s="2" t="inlineStr">
        <is>
          <t>No facility-specific brand relationship verified</t>
        </is>
      </c>
      <c r="F102" s="2" t="inlineStr">
        <is>
          <t>Search tender awards and catalogues</t>
        </is>
      </c>
      <c r="G102" s="2" t="inlineStr">
        <is>
          <t>Procurement portal / manufacturer</t>
        </is>
      </c>
      <c r="H102" s="2" t="inlineStr">
        <is>
          <t>NEEDS_VERIFICATION</t>
        </is>
      </c>
    </row>
    <row r="103">
      <c r="A103" s="2" t="inlineStr">
        <is>
          <t>Kuwait</t>
        </is>
      </c>
      <c r="B103" s="2" t="inlineStr">
        <is>
          <t>Amiri Hospital</t>
        </is>
      </c>
      <c r="C103" s="2" t="inlineStr">
        <is>
          <t>HD stations</t>
        </is>
      </c>
      <c r="D103" s="2" t="inlineStr">
        <is>
          <t>MEDIUM</t>
        </is>
      </c>
      <c r="E103" s="2" t="inlineStr">
        <is>
          <t>Facility-level station count not disclosed in source</t>
        </is>
      </c>
      <c r="F103" s="2" t="inlineStr">
        <is>
          <t>Obtain facility capacity report or licensing record</t>
        </is>
      </c>
      <c r="G103" s="2" t="inlineStr">
        <is>
          <t>Health authority / facility annual report</t>
        </is>
      </c>
      <c r="H103" s="2" t="inlineStr">
        <is>
          <t>NEEDS_VERIFICATION</t>
        </is>
      </c>
    </row>
    <row r="104">
      <c r="A104" s="2" t="inlineStr">
        <is>
          <t>Kuwait</t>
        </is>
      </c>
      <c r="B104" s="2" t="inlineStr">
        <is>
          <t>Amiri Hospital</t>
        </is>
      </c>
      <c r="C104" s="2" t="inlineStr">
        <is>
          <t>Distributor</t>
        </is>
      </c>
      <c r="D104" s="2" t="inlineStr">
        <is>
          <t>LOW</t>
        </is>
      </c>
      <c r="E104" s="2" t="inlineStr">
        <is>
          <t>No facility-specific distributor relationship verified</t>
        </is>
      </c>
      <c r="F104" s="2" t="inlineStr">
        <is>
          <t>Search procurement awards and supplier lists</t>
        </is>
      </c>
      <c r="G104" s="2" t="inlineStr">
        <is>
          <t>Procurement portal / facility procurement</t>
        </is>
      </c>
      <c r="H104" s="2" t="inlineStr">
        <is>
          <t>NEEDS_VERIFICATION</t>
        </is>
      </c>
    </row>
    <row r="105">
      <c r="A105" s="2" t="inlineStr">
        <is>
          <t>Kuwait</t>
        </is>
      </c>
      <c r="B105" s="2" t="inlineStr">
        <is>
          <t>Amiri Hospital</t>
        </is>
      </c>
      <c r="C105" s="2" t="inlineStr">
        <is>
          <t>Manufacturer/brand</t>
        </is>
      </c>
      <c r="D105" s="2" t="inlineStr">
        <is>
          <t>LOW</t>
        </is>
      </c>
      <c r="E105" s="2" t="inlineStr">
        <is>
          <t>No facility-specific brand relationship verified</t>
        </is>
      </c>
      <c r="F105" s="2" t="inlineStr">
        <is>
          <t>Search tender awards and catalogues</t>
        </is>
      </c>
      <c r="G105" s="2" t="inlineStr">
        <is>
          <t>Procurement portal / manufacturer</t>
        </is>
      </c>
      <c r="H105" s="2" t="inlineStr">
        <is>
          <t>NEEDS_VERIFICATION</t>
        </is>
      </c>
    </row>
    <row r="106">
      <c r="A106" s="2" t="inlineStr">
        <is>
          <t>Kuwait</t>
        </is>
      </c>
      <c r="B106" s="2" t="inlineStr">
        <is>
          <t>Mubarak Hospital</t>
        </is>
      </c>
      <c r="C106" s="2" t="inlineStr">
        <is>
          <t>HD stations</t>
        </is>
      </c>
      <c r="D106" s="2" t="inlineStr">
        <is>
          <t>MEDIUM</t>
        </is>
      </c>
      <c r="E106" s="2" t="inlineStr">
        <is>
          <t>Facility-level station count not disclosed in source</t>
        </is>
      </c>
      <c r="F106" s="2" t="inlineStr">
        <is>
          <t>Obtain facility capacity report or licensing record</t>
        </is>
      </c>
      <c r="G106" s="2" t="inlineStr">
        <is>
          <t>Health authority / facility annual report</t>
        </is>
      </c>
      <c r="H106" s="2" t="inlineStr">
        <is>
          <t>NEEDS_VERIFICATION</t>
        </is>
      </c>
    </row>
    <row r="107">
      <c r="A107" s="2" t="inlineStr">
        <is>
          <t>Kuwait</t>
        </is>
      </c>
      <c r="B107" s="2" t="inlineStr">
        <is>
          <t>Mubarak Hospital</t>
        </is>
      </c>
      <c r="C107" s="2" t="inlineStr">
        <is>
          <t>Distributor</t>
        </is>
      </c>
      <c r="D107" s="2" t="inlineStr">
        <is>
          <t>LOW</t>
        </is>
      </c>
      <c r="E107" s="2" t="inlineStr">
        <is>
          <t>No facility-specific distributor relationship verified</t>
        </is>
      </c>
      <c r="F107" s="2" t="inlineStr">
        <is>
          <t>Search procurement awards and supplier lists</t>
        </is>
      </c>
      <c r="G107" s="2" t="inlineStr">
        <is>
          <t>Procurement portal / facility procurement</t>
        </is>
      </c>
      <c r="H107" s="2" t="inlineStr">
        <is>
          <t>NEEDS_VERIFICATION</t>
        </is>
      </c>
    </row>
    <row r="108">
      <c r="A108" s="2" t="inlineStr">
        <is>
          <t>Kuwait</t>
        </is>
      </c>
      <c r="B108" s="2" t="inlineStr">
        <is>
          <t>Mubarak Hospital</t>
        </is>
      </c>
      <c r="C108" s="2" t="inlineStr">
        <is>
          <t>Manufacturer/brand</t>
        </is>
      </c>
      <c r="D108" s="2" t="inlineStr">
        <is>
          <t>LOW</t>
        </is>
      </c>
      <c r="E108" s="2" t="inlineStr">
        <is>
          <t>No facility-specific brand relationship verified</t>
        </is>
      </c>
      <c r="F108" s="2" t="inlineStr">
        <is>
          <t>Search tender awards and catalogues</t>
        </is>
      </c>
      <c r="G108" s="2" t="inlineStr">
        <is>
          <t>Procurement portal / manufacturer</t>
        </is>
      </c>
      <c r="H108" s="2" t="inlineStr">
        <is>
          <t>NEEDS_VERIFICATION</t>
        </is>
      </c>
    </row>
    <row r="109">
      <c r="A109" s="2" t="inlineStr">
        <is>
          <t>Kuwait</t>
        </is>
      </c>
      <c r="B109" s="2" t="inlineStr">
        <is>
          <t>Jahra Hospital</t>
        </is>
      </c>
      <c r="C109" s="2" t="inlineStr">
        <is>
          <t>HD stations</t>
        </is>
      </c>
      <c r="D109" s="2" t="inlineStr">
        <is>
          <t>MEDIUM</t>
        </is>
      </c>
      <c r="E109" s="2" t="inlineStr">
        <is>
          <t>Facility-level station count not disclosed in source</t>
        </is>
      </c>
      <c r="F109" s="2" t="inlineStr">
        <is>
          <t>Obtain facility capacity report or licensing record</t>
        </is>
      </c>
      <c r="G109" s="2" t="inlineStr">
        <is>
          <t>Health authority / facility annual report</t>
        </is>
      </c>
      <c r="H109" s="2" t="inlineStr">
        <is>
          <t>NEEDS_VERIFICATION</t>
        </is>
      </c>
    </row>
    <row r="110">
      <c r="A110" s="2" t="inlineStr">
        <is>
          <t>Kuwait</t>
        </is>
      </c>
      <c r="B110" s="2" t="inlineStr">
        <is>
          <t>Jahra Hospital</t>
        </is>
      </c>
      <c r="C110" s="2" t="inlineStr">
        <is>
          <t>Distributor</t>
        </is>
      </c>
      <c r="D110" s="2" t="inlineStr">
        <is>
          <t>LOW</t>
        </is>
      </c>
      <c r="E110" s="2" t="inlineStr">
        <is>
          <t>No facility-specific distributor relationship verified</t>
        </is>
      </c>
      <c r="F110" s="2" t="inlineStr">
        <is>
          <t>Search procurement awards and supplier lists</t>
        </is>
      </c>
      <c r="G110" s="2" t="inlineStr">
        <is>
          <t>Procurement portal / facility procurement</t>
        </is>
      </c>
      <c r="H110" s="2" t="inlineStr">
        <is>
          <t>NEEDS_VERIFICATION</t>
        </is>
      </c>
    </row>
    <row r="111">
      <c r="A111" s="2" t="inlineStr">
        <is>
          <t>Kuwait</t>
        </is>
      </c>
      <c r="B111" s="2" t="inlineStr">
        <is>
          <t>Jahra Hospital</t>
        </is>
      </c>
      <c r="C111" s="2" t="inlineStr">
        <is>
          <t>Manufacturer/brand</t>
        </is>
      </c>
      <c r="D111" s="2" t="inlineStr">
        <is>
          <t>LOW</t>
        </is>
      </c>
      <c r="E111" s="2" t="inlineStr">
        <is>
          <t>No facility-specific brand relationship verified</t>
        </is>
      </c>
      <c r="F111" s="2" t="inlineStr">
        <is>
          <t>Search tender awards and catalogues</t>
        </is>
      </c>
      <c r="G111" s="2" t="inlineStr">
        <is>
          <t>Procurement portal / manufacturer</t>
        </is>
      </c>
      <c r="H111" s="2" t="inlineStr">
        <is>
          <t>NEEDS_VERIFICATION</t>
        </is>
      </c>
    </row>
    <row r="112">
      <c r="A112" s="2" t="inlineStr">
        <is>
          <t>Kuwait</t>
        </is>
      </c>
      <c r="B112" s="2" t="inlineStr">
        <is>
          <t>Al-Adan Hospital / Al Khozam Dialysis Unit</t>
        </is>
      </c>
      <c r="C112" s="2" t="inlineStr">
        <is>
          <t>HD stations</t>
        </is>
      </c>
      <c r="D112" s="2" t="inlineStr">
        <is>
          <t>MEDIUM</t>
        </is>
      </c>
      <c r="E112" s="2" t="inlineStr">
        <is>
          <t>Facility-level station count not disclosed in source</t>
        </is>
      </c>
      <c r="F112" s="2" t="inlineStr">
        <is>
          <t>Obtain facility capacity report or licensing record</t>
        </is>
      </c>
      <c r="G112" s="2" t="inlineStr">
        <is>
          <t>Health authority / facility annual report</t>
        </is>
      </c>
      <c r="H112" s="2" t="inlineStr">
        <is>
          <t>NEEDS_VERIFICATION</t>
        </is>
      </c>
    </row>
    <row r="113">
      <c r="A113" s="2" t="inlineStr">
        <is>
          <t>Kuwait</t>
        </is>
      </c>
      <c r="B113" s="2" t="inlineStr">
        <is>
          <t>Al-Adan Hospital / Al Khozam Dialysis Unit</t>
        </is>
      </c>
      <c r="C113" s="2" t="inlineStr">
        <is>
          <t>Distributor</t>
        </is>
      </c>
      <c r="D113" s="2" t="inlineStr">
        <is>
          <t>LOW</t>
        </is>
      </c>
      <c r="E113" s="2" t="inlineStr">
        <is>
          <t>No facility-specific distributor relationship verified</t>
        </is>
      </c>
      <c r="F113" s="2" t="inlineStr">
        <is>
          <t>Search procurement awards and supplier lists</t>
        </is>
      </c>
      <c r="G113" s="2" t="inlineStr">
        <is>
          <t>Procurement portal / facility procurement</t>
        </is>
      </c>
      <c r="H113" s="2" t="inlineStr">
        <is>
          <t>NEEDS_VERIFICATION</t>
        </is>
      </c>
    </row>
    <row r="114">
      <c r="A114" s="2" t="inlineStr">
        <is>
          <t>Kuwait</t>
        </is>
      </c>
      <c r="B114" s="2" t="inlineStr">
        <is>
          <t>Al-Adan Hospital / Al Khozam Dialysis Unit</t>
        </is>
      </c>
      <c r="C114" s="2" t="inlineStr">
        <is>
          <t>Manufacturer/brand</t>
        </is>
      </c>
      <c r="D114" s="2" t="inlineStr">
        <is>
          <t>LOW</t>
        </is>
      </c>
      <c r="E114" s="2" t="inlineStr">
        <is>
          <t>No facility-specific brand relationship verified</t>
        </is>
      </c>
      <c r="F114" s="2" t="inlineStr">
        <is>
          <t>Search tender awards and catalogues</t>
        </is>
      </c>
      <c r="G114" s="2" t="inlineStr">
        <is>
          <t>Procurement portal / manufacturer</t>
        </is>
      </c>
      <c r="H114" s="2" t="inlineStr">
        <is>
          <t>NEEDS_VERIFICATION</t>
        </is>
      </c>
    </row>
    <row r="115">
      <c r="A115" s="2" t="inlineStr">
        <is>
          <t>Kuwait</t>
        </is>
      </c>
      <c r="B115" s="2" t="inlineStr">
        <is>
          <t>Farwaniya Hospital</t>
        </is>
      </c>
      <c r="C115" s="2" t="inlineStr">
        <is>
          <t>HD stations</t>
        </is>
      </c>
      <c r="D115" s="2" t="inlineStr">
        <is>
          <t>MEDIUM</t>
        </is>
      </c>
      <c r="E115" s="2" t="inlineStr">
        <is>
          <t>Facility-level station count not disclosed in source</t>
        </is>
      </c>
      <c r="F115" s="2" t="inlineStr">
        <is>
          <t>Obtain facility capacity report or licensing record</t>
        </is>
      </c>
      <c r="G115" s="2" t="inlineStr">
        <is>
          <t>Health authority / facility annual report</t>
        </is>
      </c>
      <c r="H115" s="2" t="inlineStr">
        <is>
          <t>NEEDS_VERIFICATION</t>
        </is>
      </c>
    </row>
    <row r="116">
      <c r="A116" s="2" t="inlineStr">
        <is>
          <t>Kuwait</t>
        </is>
      </c>
      <c r="B116" s="2" t="inlineStr">
        <is>
          <t>Farwaniya Hospital</t>
        </is>
      </c>
      <c r="C116" s="2" t="inlineStr">
        <is>
          <t>Distributor</t>
        </is>
      </c>
      <c r="D116" s="2" t="inlineStr">
        <is>
          <t>LOW</t>
        </is>
      </c>
      <c r="E116" s="2" t="inlineStr">
        <is>
          <t>No facility-specific distributor relationship verified</t>
        </is>
      </c>
      <c r="F116" s="2" t="inlineStr">
        <is>
          <t>Search procurement awards and supplier lists</t>
        </is>
      </c>
      <c r="G116" s="2" t="inlineStr">
        <is>
          <t>Procurement portal / facility procurement</t>
        </is>
      </c>
      <c r="H116" s="2" t="inlineStr">
        <is>
          <t>NEEDS_VERIFICATION</t>
        </is>
      </c>
    </row>
    <row r="117">
      <c r="A117" s="2" t="inlineStr">
        <is>
          <t>Kuwait</t>
        </is>
      </c>
      <c r="B117" s="2" t="inlineStr">
        <is>
          <t>Farwaniya Hospital</t>
        </is>
      </c>
      <c r="C117" s="2" t="inlineStr">
        <is>
          <t>Manufacturer/brand</t>
        </is>
      </c>
      <c r="D117" s="2" t="inlineStr">
        <is>
          <t>LOW</t>
        </is>
      </c>
      <c r="E117" s="2" t="inlineStr">
        <is>
          <t>No facility-specific brand relationship verified</t>
        </is>
      </c>
      <c r="F117" s="2" t="inlineStr">
        <is>
          <t>Search tender awards and catalogues</t>
        </is>
      </c>
      <c r="G117" s="2" t="inlineStr">
        <is>
          <t>Procurement portal / manufacturer</t>
        </is>
      </c>
      <c r="H117" s="2" t="inlineStr">
        <is>
          <t>NEEDS_VERIFICATION</t>
        </is>
      </c>
    </row>
    <row r="118">
      <c r="A118" s="2" t="inlineStr">
        <is>
          <t>Kuwait</t>
        </is>
      </c>
      <c r="B118" s="2" t="inlineStr">
        <is>
          <t>Jaber Hospital</t>
        </is>
      </c>
      <c r="C118" s="2" t="inlineStr">
        <is>
          <t>HD stations</t>
        </is>
      </c>
      <c r="D118" s="2" t="inlineStr">
        <is>
          <t>MEDIUM</t>
        </is>
      </c>
      <c r="E118" s="2" t="inlineStr">
        <is>
          <t>Facility-level station count not disclosed in source</t>
        </is>
      </c>
      <c r="F118" s="2" t="inlineStr">
        <is>
          <t>Obtain facility capacity report or licensing record</t>
        </is>
      </c>
      <c r="G118" s="2" t="inlineStr">
        <is>
          <t>Health authority / facility annual report</t>
        </is>
      </c>
      <c r="H118" s="2" t="inlineStr">
        <is>
          <t>NEEDS_VERIFICATION</t>
        </is>
      </c>
    </row>
    <row r="119">
      <c r="A119" s="2" t="inlineStr">
        <is>
          <t>Kuwait</t>
        </is>
      </c>
      <c r="B119" s="2" t="inlineStr">
        <is>
          <t>Jaber Hospital</t>
        </is>
      </c>
      <c r="C119" s="2" t="inlineStr">
        <is>
          <t>Distributor</t>
        </is>
      </c>
      <c r="D119" s="2" t="inlineStr">
        <is>
          <t>LOW</t>
        </is>
      </c>
      <c r="E119" s="2" t="inlineStr">
        <is>
          <t>No facility-specific distributor relationship verified</t>
        </is>
      </c>
      <c r="F119" s="2" t="inlineStr">
        <is>
          <t>Search procurement awards and supplier lists</t>
        </is>
      </c>
      <c r="G119" s="2" t="inlineStr">
        <is>
          <t>Procurement portal / facility procurement</t>
        </is>
      </c>
      <c r="H119" s="2" t="inlineStr">
        <is>
          <t>NEEDS_VERIFICATION</t>
        </is>
      </c>
    </row>
    <row r="120">
      <c r="A120" s="2" t="inlineStr">
        <is>
          <t>Kuwait</t>
        </is>
      </c>
      <c r="B120" s="2" t="inlineStr">
        <is>
          <t>Jaber Hospital</t>
        </is>
      </c>
      <c r="C120" s="2" t="inlineStr">
        <is>
          <t>Manufacturer/brand</t>
        </is>
      </c>
      <c r="D120" s="2" t="inlineStr">
        <is>
          <t>LOW</t>
        </is>
      </c>
      <c r="E120" s="2" t="inlineStr">
        <is>
          <t>No facility-specific brand relationship verified</t>
        </is>
      </c>
      <c r="F120" s="2" t="inlineStr">
        <is>
          <t>Search tender awards and catalogues</t>
        </is>
      </c>
      <c r="G120" s="2" t="inlineStr">
        <is>
          <t>Procurement portal / manufacturer</t>
        </is>
      </c>
      <c r="H120" s="2" t="inlineStr">
        <is>
          <t>NEEDS_VERIFICATION</t>
        </is>
      </c>
    </row>
    <row r="121">
      <c r="A121" s="2" t="inlineStr">
        <is>
          <t>Kuwait</t>
        </is>
      </c>
      <c r="B121" s="2" t="inlineStr">
        <is>
          <t>Chest Diseases Hospital</t>
        </is>
      </c>
      <c r="C121" s="2" t="inlineStr">
        <is>
          <t>HD stations</t>
        </is>
      </c>
      <c r="D121" s="2" t="inlineStr">
        <is>
          <t>MEDIUM</t>
        </is>
      </c>
      <c r="E121" s="2" t="inlineStr">
        <is>
          <t>Facility-level station count not disclosed in source</t>
        </is>
      </c>
      <c r="F121" s="2" t="inlineStr">
        <is>
          <t>Obtain facility capacity report or licensing record</t>
        </is>
      </c>
      <c r="G121" s="2" t="inlineStr">
        <is>
          <t>Health authority / facility annual report</t>
        </is>
      </c>
      <c r="H121" s="2" t="inlineStr">
        <is>
          <t>NEEDS_VERIFICATION</t>
        </is>
      </c>
    </row>
    <row r="122">
      <c r="A122" s="2" t="inlineStr">
        <is>
          <t>Kuwait</t>
        </is>
      </c>
      <c r="B122" s="2" t="inlineStr">
        <is>
          <t>Chest Diseases Hospital</t>
        </is>
      </c>
      <c r="C122" s="2" t="inlineStr">
        <is>
          <t>Distributor</t>
        </is>
      </c>
      <c r="D122" s="2" t="inlineStr">
        <is>
          <t>LOW</t>
        </is>
      </c>
      <c r="E122" s="2" t="inlineStr">
        <is>
          <t>No facility-specific distributor relationship verified</t>
        </is>
      </c>
      <c r="F122" s="2" t="inlineStr">
        <is>
          <t>Search procurement awards and supplier lists</t>
        </is>
      </c>
      <c r="G122" s="2" t="inlineStr">
        <is>
          <t>Procurement portal / facility procurement</t>
        </is>
      </c>
      <c r="H122" s="2" t="inlineStr">
        <is>
          <t>NEEDS_VERIFICATION</t>
        </is>
      </c>
    </row>
    <row r="123">
      <c r="A123" s="2" t="inlineStr">
        <is>
          <t>Kuwait</t>
        </is>
      </c>
      <c r="B123" s="2" t="inlineStr">
        <is>
          <t>Chest Diseases Hospital</t>
        </is>
      </c>
      <c r="C123" s="2" t="inlineStr">
        <is>
          <t>Manufacturer/brand</t>
        </is>
      </c>
      <c r="D123" s="2" t="inlineStr">
        <is>
          <t>LOW</t>
        </is>
      </c>
      <c r="E123" s="2" t="inlineStr">
        <is>
          <t>No facility-specific brand relationship verified</t>
        </is>
      </c>
      <c r="F123" s="2" t="inlineStr">
        <is>
          <t>Search tender awards and catalogues</t>
        </is>
      </c>
      <c r="G123" s="2" t="inlineStr">
        <is>
          <t>Procurement portal / manufacturer</t>
        </is>
      </c>
      <c r="H123" s="2" t="inlineStr">
        <is>
          <t>NEEDS_VERIFICATION</t>
        </is>
      </c>
    </row>
    <row r="124">
      <c r="A124" s="2" t="inlineStr">
        <is>
          <t>Kuwait</t>
        </is>
      </c>
      <c r="B124" s="2" t="inlineStr">
        <is>
          <t>Kuwait Ministry of Defense Hospital</t>
        </is>
      </c>
      <c r="C124" s="2" t="inlineStr">
        <is>
          <t>HD stations</t>
        </is>
      </c>
      <c r="D124" s="2" t="inlineStr">
        <is>
          <t>MEDIUM</t>
        </is>
      </c>
      <c r="E124" s="2" t="inlineStr">
        <is>
          <t>Facility-level station count not disclosed in source</t>
        </is>
      </c>
      <c r="F124" s="2" t="inlineStr">
        <is>
          <t>Obtain facility capacity report or licensing record</t>
        </is>
      </c>
      <c r="G124" s="2" t="inlineStr">
        <is>
          <t>Health authority / facility annual report</t>
        </is>
      </c>
      <c r="H124" s="2" t="inlineStr">
        <is>
          <t>NEEDS_VERIFICATION</t>
        </is>
      </c>
    </row>
    <row r="125">
      <c r="A125" s="2" t="inlineStr">
        <is>
          <t>Kuwait</t>
        </is>
      </c>
      <c r="B125" s="2" t="inlineStr">
        <is>
          <t>Kuwait Ministry of Defense Hospital</t>
        </is>
      </c>
      <c r="C125" s="2" t="inlineStr">
        <is>
          <t>Distributor</t>
        </is>
      </c>
      <c r="D125" s="2" t="inlineStr">
        <is>
          <t>LOW</t>
        </is>
      </c>
      <c r="E125" s="2" t="inlineStr">
        <is>
          <t>No facility-specific distributor relationship verified</t>
        </is>
      </c>
      <c r="F125" s="2" t="inlineStr">
        <is>
          <t>Search procurement awards and supplier lists</t>
        </is>
      </c>
      <c r="G125" s="2" t="inlineStr">
        <is>
          <t>Procurement portal / facility procurement</t>
        </is>
      </c>
      <c r="H125" s="2" t="inlineStr">
        <is>
          <t>NEEDS_VERIFICATION</t>
        </is>
      </c>
    </row>
    <row r="126">
      <c r="A126" s="2" t="inlineStr">
        <is>
          <t>Kuwait</t>
        </is>
      </c>
      <c r="B126" s="2" t="inlineStr">
        <is>
          <t>Kuwait Ministry of Defense Hospital</t>
        </is>
      </c>
      <c r="C126" s="2" t="inlineStr">
        <is>
          <t>Manufacturer/brand</t>
        </is>
      </c>
      <c r="D126" s="2" t="inlineStr">
        <is>
          <t>LOW</t>
        </is>
      </c>
      <c r="E126" s="2" t="inlineStr">
        <is>
          <t>No facility-specific brand relationship verified</t>
        </is>
      </c>
      <c r="F126" s="2" t="inlineStr">
        <is>
          <t>Search tender awards and catalogues</t>
        </is>
      </c>
      <c r="G126" s="2" t="inlineStr">
        <is>
          <t>Procurement portal / manufacturer</t>
        </is>
      </c>
      <c r="H126" s="2" t="inlineStr">
        <is>
          <t>NEEDS_VERIFICATION</t>
        </is>
      </c>
    </row>
    <row r="127">
      <c r="A127" s="2" t="inlineStr">
        <is>
          <t>Kuwait</t>
        </is>
      </c>
      <c r="B127" s="2" t="inlineStr">
        <is>
          <t>Kuwait Oil Company Hospital</t>
        </is>
      </c>
      <c r="C127" s="2" t="inlineStr">
        <is>
          <t>HD stations</t>
        </is>
      </c>
      <c r="D127" s="2" t="inlineStr">
        <is>
          <t>MEDIUM</t>
        </is>
      </c>
      <c r="E127" s="2" t="inlineStr">
        <is>
          <t>Facility-level station count not disclosed in source</t>
        </is>
      </c>
      <c r="F127" s="2" t="inlineStr">
        <is>
          <t>Obtain facility capacity report or licensing record</t>
        </is>
      </c>
      <c r="G127" s="2" t="inlineStr">
        <is>
          <t>Health authority / facility annual report</t>
        </is>
      </c>
      <c r="H127" s="2" t="inlineStr">
        <is>
          <t>NEEDS_VERIFICATION</t>
        </is>
      </c>
    </row>
    <row r="128">
      <c r="A128" s="2" t="inlineStr">
        <is>
          <t>Kuwait</t>
        </is>
      </c>
      <c r="B128" s="2" t="inlineStr">
        <is>
          <t>Kuwait Oil Company Hospital</t>
        </is>
      </c>
      <c r="C128" s="2" t="inlineStr">
        <is>
          <t>Distributor</t>
        </is>
      </c>
      <c r="D128" s="2" t="inlineStr">
        <is>
          <t>LOW</t>
        </is>
      </c>
      <c r="E128" s="2" t="inlineStr">
        <is>
          <t>No facility-specific distributor relationship verified</t>
        </is>
      </c>
      <c r="F128" s="2" t="inlineStr">
        <is>
          <t>Search procurement awards and supplier lists</t>
        </is>
      </c>
      <c r="G128" s="2" t="inlineStr">
        <is>
          <t>Procurement portal / facility procurement</t>
        </is>
      </c>
      <c r="H128" s="2" t="inlineStr">
        <is>
          <t>NEEDS_VERIFICATION</t>
        </is>
      </c>
    </row>
    <row r="129">
      <c r="A129" s="2" t="inlineStr">
        <is>
          <t>Kuwait</t>
        </is>
      </c>
      <c r="B129" s="2" t="inlineStr">
        <is>
          <t>Kuwait Oil Company Hospital</t>
        </is>
      </c>
      <c r="C129" s="2" t="inlineStr">
        <is>
          <t>Manufacturer/brand</t>
        </is>
      </c>
      <c r="D129" s="2" t="inlineStr">
        <is>
          <t>LOW</t>
        </is>
      </c>
      <c r="E129" s="2" t="inlineStr">
        <is>
          <t>No facility-specific brand relationship verified</t>
        </is>
      </c>
      <c r="F129" s="2" t="inlineStr">
        <is>
          <t>Search tender awards and catalogues</t>
        </is>
      </c>
      <c r="G129" s="2" t="inlineStr">
        <is>
          <t>Procurement portal / manufacturer</t>
        </is>
      </c>
      <c r="H129" s="2" t="inlineStr">
        <is>
          <t>NEEDS_VERIFICATION</t>
        </is>
      </c>
    </row>
    <row r="130">
      <c r="A130" s="2" t="inlineStr">
        <is>
          <t>Oman</t>
        </is>
      </c>
      <c r="B130" s="2" t="inlineStr">
        <is>
          <t>Sultan Qaboos University Hospital</t>
        </is>
      </c>
      <c r="C130" s="2" t="inlineStr">
        <is>
          <t>HD stations</t>
        </is>
      </c>
      <c r="D130" s="2" t="inlineStr">
        <is>
          <t>MEDIUM</t>
        </is>
      </c>
      <c r="E130" s="2" t="inlineStr">
        <is>
          <t>Facility-level station count not disclosed in source</t>
        </is>
      </c>
      <c r="F130" s="2" t="inlineStr">
        <is>
          <t>Obtain facility capacity report or licensing record</t>
        </is>
      </c>
      <c r="G130" s="2" t="inlineStr">
        <is>
          <t>Health authority / facility annual report</t>
        </is>
      </c>
      <c r="H130" s="2" t="inlineStr">
        <is>
          <t>NEEDS_VERIFICATION</t>
        </is>
      </c>
    </row>
    <row r="131">
      <c r="A131" s="2" t="inlineStr">
        <is>
          <t>Oman</t>
        </is>
      </c>
      <c r="B131" s="2" t="inlineStr">
        <is>
          <t>Sultan Qaboos University Hospital</t>
        </is>
      </c>
      <c r="C131" s="2" t="inlineStr">
        <is>
          <t>Distributor</t>
        </is>
      </c>
      <c r="D131" s="2" t="inlineStr">
        <is>
          <t>LOW</t>
        </is>
      </c>
      <c r="E131" s="2" t="inlineStr">
        <is>
          <t>No facility-specific distributor relationship verified</t>
        </is>
      </c>
      <c r="F131" s="2" t="inlineStr">
        <is>
          <t>Search procurement awards and supplier lists</t>
        </is>
      </c>
      <c r="G131" s="2" t="inlineStr">
        <is>
          <t>Procurement portal / facility procurement</t>
        </is>
      </c>
      <c r="H131" s="2" t="inlineStr">
        <is>
          <t>NEEDS_VERIFICATION</t>
        </is>
      </c>
    </row>
    <row r="132">
      <c r="A132" s="2" t="inlineStr">
        <is>
          <t>Oman</t>
        </is>
      </c>
      <c r="B132" s="2" t="inlineStr">
        <is>
          <t>Sultan Qaboos University Hospital</t>
        </is>
      </c>
      <c r="C132" s="2" t="inlineStr">
        <is>
          <t>Manufacturer/brand</t>
        </is>
      </c>
      <c r="D132" s="2" t="inlineStr">
        <is>
          <t>LOW</t>
        </is>
      </c>
      <c r="E132" s="2" t="inlineStr">
        <is>
          <t>No facility-specific brand relationship verified</t>
        </is>
      </c>
      <c r="F132" s="2" t="inlineStr">
        <is>
          <t>Search tender awards and catalogues</t>
        </is>
      </c>
      <c r="G132" s="2" t="inlineStr">
        <is>
          <t>Procurement portal / manufacturer</t>
        </is>
      </c>
      <c r="H132" s="2" t="inlineStr">
        <is>
          <t>NEEDS_VERIFICATION</t>
        </is>
      </c>
    </row>
    <row r="133">
      <c r="A133" s="2" t="inlineStr">
        <is>
          <t>Oman</t>
        </is>
      </c>
      <c r="B133" s="2" t="inlineStr">
        <is>
          <t>Royal Hospital</t>
        </is>
      </c>
      <c r="C133" s="2" t="inlineStr">
        <is>
          <t>HD stations</t>
        </is>
      </c>
      <c r="D133" s="2" t="inlineStr">
        <is>
          <t>MEDIUM</t>
        </is>
      </c>
      <c r="E133" s="2" t="inlineStr">
        <is>
          <t>Facility-level station count not disclosed in source</t>
        </is>
      </c>
      <c r="F133" s="2" t="inlineStr">
        <is>
          <t>Obtain facility capacity report or licensing record</t>
        </is>
      </c>
      <c r="G133" s="2" t="inlineStr">
        <is>
          <t>Health authority / facility annual report</t>
        </is>
      </c>
      <c r="H133" s="2" t="inlineStr">
        <is>
          <t>NEEDS_VERIFICATION</t>
        </is>
      </c>
    </row>
    <row r="134">
      <c r="A134" s="2" t="inlineStr">
        <is>
          <t>Oman</t>
        </is>
      </c>
      <c r="B134" s="2" t="inlineStr">
        <is>
          <t>Royal Hospital</t>
        </is>
      </c>
      <c r="C134" s="2" t="inlineStr">
        <is>
          <t>Distributor</t>
        </is>
      </c>
      <c r="D134" s="2" t="inlineStr">
        <is>
          <t>LOW</t>
        </is>
      </c>
      <c r="E134" s="2" t="inlineStr">
        <is>
          <t>No facility-specific distributor relationship verified</t>
        </is>
      </c>
      <c r="F134" s="2" t="inlineStr">
        <is>
          <t>Search procurement awards and supplier lists</t>
        </is>
      </c>
      <c r="G134" s="2" t="inlineStr">
        <is>
          <t>Procurement portal / facility procurement</t>
        </is>
      </c>
      <c r="H134" s="2" t="inlineStr">
        <is>
          <t>NEEDS_VERIFICATION</t>
        </is>
      </c>
    </row>
    <row r="135">
      <c r="A135" s="2" t="inlineStr">
        <is>
          <t>Oman</t>
        </is>
      </c>
      <c r="B135" s="2" t="inlineStr">
        <is>
          <t>Royal Hospital</t>
        </is>
      </c>
      <c r="C135" s="2" t="inlineStr">
        <is>
          <t>Manufacturer/brand</t>
        </is>
      </c>
      <c r="D135" s="2" t="inlineStr">
        <is>
          <t>LOW</t>
        </is>
      </c>
      <c r="E135" s="2" t="inlineStr">
        <is>
          <t>No facility-specific brand relationship verified</t>
        </is>
      </c>
      <c r="F135" s="2" t="inlineStr">
        <is>
          <t>Search tender awards and catalogues</t>
        </is>
      </c>
      <c r="G135" s="2" t="inlineStr">
        <is>
          <t>Procurement portal / manufacturer</t>
        </is>
      </c>
      <c r="H135" s="2" t="inlineStr">
        <is>
          <t>NEEDS_VERIFICATION</t>
        </is>
      </c>
    </row>
    <row r="136">
      <c r="A136" s="2" t="inlineStr">
        <is>
          <t>Oman</t>
        </is>
      </c>
      <c r="B136" s="2" t="inlineStr">
        <is>
          <t>Sohar Hospital</t>
        </is>
      </c>
      <c r="C136" s="2" t="inlineStr">
        <is>
          <t>HD stations</t>
        </is>
      </c>
      <c r="D136" s="2" t="inlineStr">
        <is>
          <t>MEDIUM</t>
        </is>
      </c>
      <c r="E136" s="2" t="inlineStr">
        <is>
          <t>Facility-level station count not disclosed in source</t>
        </is>
      </c>
      <c r="F136" s="2" t="inlineStr">
        <is>
          <t>Obtain facility capacity report or licensing record</t>
        </is>
      </c>
      <c r="G136" s="2" t="inlineStr">
        <is>
          <t>Health authority / facility annual report</t>
        </is>
      </c>
      <c r="H136" s="2" t="inlineStr">
        <is>
          <t>NEEDS_VERIFICATION</t>
        </is>
      </c>
    </row>
    <row r="137">
      <c r="A137" s="2" t="inlineStr">
        <is>
          <t>Oman</t>
        </is>
      </c>
      <c r="B137" s="2" t="inlineStr">
        <is>
          <t>Sohar Hospital</t>
        </is>
      </c>
      <c r="C137" s="2" t="inlineStr">
        <is>
          <t>Distributor</t>
        </is>
      </c>
      <c r="D137" s="2" t="inlineStr">
        <is>
          <t>LOW</t>
        </is>
      </c>
      <c r="E137" s="2" t="inlineStr">
        <is>
          <t>No facility-specific distributor relationship verified</t>
        </is>
      </c>
      <c r="F137" s="2" t="inlineStr">
        <is>
          <t>Search procurement awards and supplier lists</t>
        </is>
      </c>
      <c r="G137" s="2" t="inlineStr">
        <is>
          <t>Procurement portal / facility procurement</t>
        </is>
      </c>
      <c r="H137" s="2" t="inlineStr">
        <is>
          <t>NEEDS_VERIFICATION</t>
        </is>
      </c>
    </row>
    <row r="138">
      <c r="A138" s="2" t="inlineStr">
        <is>
          <t>Oman</t>
        </is>
      </c>
      <c r="B138" s="2" t="inlineStr">
        <is>
          <t>Sohar Hospital</t>
        </is>
      </c>
      <c r="C138" s="2" t="inlineStr">
        <is>
          <t>Manufacturer/brand</t>
        </is>
      </c>
      <c r="D138" s="2" t="inlineStr">
        <is>
          <t>LOW</t>
        </is>
      </c>
      <c r="E138" s="2" t="inlineStr">
        <is>
          <t>No facility-specific brand relationship verified</t>
        </is>
      </c>
      <c r="F138" s="2" t="inlineStr">
        <is>
          <t>Search tender awards and catalogues</t>
        </is>
      </c>
      <c r="G138" s="2" t="inlineStr">
        <is>
          <t>Procurement portal / manufacturer</t>
        </is>
      </c>
      <c r="H138" s="2" t="inlineStr">
        <is>
          <t>NEEDS_VERIFICATION</t>
        </is>
      </c>
    </row>
    <row r="139">
      <c r="A139" s="2" t="inlineStr">
        <is>
          <t>Oman</t>
        </is>
      </c>
      <c r="B139" s="2" t="inlineStr">
        <is>
          <t>Sultan Qaboos Hospital, Salalah</t>
        </is>
      </c>
      <c r="C139" s="2" t="inlineStr">
        <is>
          <t>HD stations</t>
        </is>
      </c>
      <c r="D139" s="2" t="inlineStr">
        <is>
          <t>MEDIUM</t>
        </is>
      </c>
      <c r="E139" s="2" t="inlineStr">
        <is>
          <t>Facility-level station count not disclosed in source</t>
        </is>
      </c>
      <c r="F139" s="2" t="inlineStr">
        <is>
          <t>Obtain facility capacity report or licensing record</t>
        </is>
      </c>
      <c r="G139" s="2" t="inlineStr">
        <is>
          <t>Health authority / facility annual report</t>
        </is>
      </c>
      <c r="H139" s="2" t="inlineStr">
        <is>
          <t>NEEDS_VERIFICATION</t>
        </is>
      </c>
    </row>
    <row r="140">
      <c r="A140" s="2" t="inlineStr">
        <is>
          <t>Oman</t>
        </is>
      </c>
      <c r="B140" s="2" t="inlineStr">
        <is>
          <t>Sultan Qaboos Hospital, Salalah</t>
        </is>
      </c>
      <c r="C140" s="2" t="inlineStr">
        <is>
          <t>Distributor</t>
        </is>
      </c>
      <c r="D140" s="2" t="inlineStr">
        <is>
          <t>LOW</t>
        </is>
      </c>
      <c r="E140" s="2" t="inlineStr">
        <is>
          <t>No facility-specific distributor relationship verified</t>
        </is>
      </c>
      <c r="F140" s="2" t="inlineStr">
        <is>
          <t>Search procurement awards and supplier lists</t>
        </is>
      </c>
      <c r="G140" s="2" t="inlineStr">
        <is>
          <t>Procurement portal / facility procurement</t>
        </is>
      </c>
      <c r="H140" s="2" t="inlineStr">
        <is>
          <t>NEEDS_VERIFICATION</t>
        </is>
      </c>
    </row>
    <row r="141">
      <c r="A141" s="2" t="inlineStr">
        <is>
          <t>Oman</t>
        </is>
      </c>
      <c r="B141" s="2" t="inlineStr">
        <is>
          <t>Sultan Qaboos Hospital, Salalah</t>
        </is>
      </c>
      <c r="C141" s="2" t="inlineStr">
        <is>
          <t>Manufacturer/brand</t>
        </is>
      </c>
      <c r="D141" s="2" t="inlineStr">
        <is>
          <t>LOW</t>
        </is>
      </c>
      <c r="E141" s="2" t="inlineStr">
        <is>
          <t>No facility-specific brand relationship verified</t>
        </is>
      </c>
      <c r="F141" s="2" t="inlineStr">
        <is>
          <t>Search tender awards and catalogues</t>
        </is>
      </c>
      <c r="G141" s="2" t="inlineStr">
        <is>
          <t>Procurement portal / manufacturer</t>
        </is>
      </c>
      <c r="H141" s="2" t="inlineStr">
        <is>
          <t>NEEDS_VERIFICATION</t>
        </is>
      </c>
    </row>
    <row r="142">
      <c r="A142" s="2" t="inlineStr">
        <is>
          <t>Oman</t>
        </is>
      </c>
      <c r="B142" s="2" t="inlineStr">
        <is>
          <t>Ibra Hospital</t>
        </is>
      </c>
      <c r="C142" s="2" t="inlineStr">
        <is>
          <t>HD stations</t>
        </is>
      </c>
      <c r="D142" s="2" t="inlineStr">
        <is>
          <t>MEDIUM</t>
        </is>
      </c>
      <c r="E142" s="2" t="inlineStr">
        <is>
          <t>Facility-level station count not disclosed in source</t>
        </is>
      </c>
      <c r="F142" s="2" t="inlineStr">
        <is>
          <t>Obtain facility capacity report or licensing record</t>
        </is>
      </c>
      <c r="G142" s="2" t="inlineStr">
        <is>
          <t>Health authority / facility annual report</t>
        </is>
      </c>
      <c r="H142" s="2" t="inlineStr">
        <is>
          <t>NEEDS_VERIFICATION</t>
        </is>
      </c>
    </row>
    <row r="143">
      <c r="A143" s="2" t="inlineStr">
        <is>
          <t>Oman</t>
        </is>
      </c>
      <c r="B143" s="2" t="inlineStr">
        <is>
          <t>Ibra Hospital</t>
        </is>
      </c>
      <c r="C143" s="2" t="inlineStr">
        <is>
          <t>Distributor</t>
        </is>
      </c>
      <c r="D143" s="2" t="inlineStr">
        <is>
          <t>LOW</t>
        </is>
      </c>
      <c r="E143" s="2" t="inlineStr">
        <is>
          <t>No facility-specific distributor relationship verified</t>
        </is>
      </c>
      <c r="F143" s="2" t="inlineStr">
        <is>
          <t>Search procurement awards and supplier lists</t>
        </is>
      </c>
      <c r="G143" s="2" t="inlineStr">
        <is>
          <t>Procurement portal / facility procurement</t>
        </is>
      </c>
      <c r="H143" s="2" t="inlineStr">
        <is>
          <t>NEEDS_VERIFICATION</t>
        </is>
      </c>
    </row>
    <row r="144">
      <c r="A144" s="2" t="inlineStr">
        <is>
          <t>Oman</t>
        </is>
      </c>
      <c r="B144" s="2" t="inlineStr">
        <is>
          <t>Ibra Hospital</t>
        </is>
      </c>
      <c r="C144" s="2" t="inlineStr">
        <is>
          <t>Manufacturer/brand</t>
        </is>
      </c>
      <c r="D144" s="2" t="inlineStr">
        <is>
          <t>LOW</t>
        </is>
      </c>
      <c r="E144" s="2" t="inlineStr">
        <is>
          <t>No facility-specific brand relationship verified</t>
        </is>
      </c>
      <c r="F144" s="2" t="inlineStr">
        <is>
          <t>Search tender awards and catalogues</t>
        </is>
      </c>
      <c r="G144" s="2" t="inlineStr">
        <is>
          <t>Procurement portal / manufacturer</t>
        </is>
      </c>
      <c r="H144" s="2" t="inlineStr">
        <is>
          <t>NEEDS_VERIFICATION</t>
        </is>
      </c>
    </row>
    <row r="145">
      <c r="A145" s="2" t="inlineStr">
        <is>
          <t>Oman</t>
        </is>
      </c>
      <c r="B145" s="2" t="inlineStr">
        <is>
          <t>Ibri Hospital</t>
        </is>
      </c>
      <c r="C145" s="2" t="inlineStr">
        <is>
          <t>HD stations</t>
        </is>
      </c>
      <c r="D145" s="2" t="inlineStr">
        <is>
          <t>MEDIUM</t>
        </is>
      </c>
      <c r="E145" s="2" t="inlineStr">
        <is>
          <t>Facility-level station count not disclosed in source</t>
        </is>
      </c>
      <c r="F145" s="2" t="inlineStr">
        <is>
          <t>Obtain facility capacity report or licensing record</t>
        </is>
      </c>
      <c r="G145" s="2" t="inlineStr">
        <is>
          <t>Health authority / facility annual report</t>
        </is>
      </c>
      <c r="H145" s="2" t="inlineStr">
        <is>
          <t>NEEDS_VERIFICATION</t>
        </is>
      </c>
    </row>
    <row r="146">
      <c r="A146" s="2" t="inlineStr">
        <is>
          <t>Oman</t>
        </is>
      </c>
      <c r="B146" s="2" t="inlineStr">
        <is>
          <t>Ibri Hospital</t>
        </is>
      </c>
      <c r="C146" s="2" t="inlineStr">
        <is>
          <t>Distributor</t>
        </is>
      </c>
      <c r="D146" s="2" t="inlineStr">
        <is>
          <t>LOW</t>
        </is>
      </c>
      <c r="E146" s="2" t="inlineStr">
        <is>
          <t>No facility-specific distributor relationship verified</t>
        </is>
      </c>
      <c r="F146" s="2" t="inlineStr">
        <is>
          <t>Search procurement awards and supplier lists</t>
        </is>
      </c>
      <c r="G146" s="2" t="inlineStr">
        <is>
          <t>Procurement portal / facility procurement</t>
        </is>
      </c>
      <c r="H146" s="2" t="inlineStr">
        <is>
          <t>NEEDS_VERIFICATION</t>
        </is>
      </c>
    </row>
    <row r="147">
      <c r="A147" s="2" t="inlineStr">
        <is>
          <t>Oman</t>
        </is>
      </c>
      <c r="B147" s="2" t="inlineStr">
        <is>
          <t>Ibri Hospital</t>
        </is>
      </c>
      <c r="C147" s="2" t="inlineStr">
        <is>
          <t>Manufacturer/brand</t>
        </is>
      </c>
      <c r="D147" s="2" t="inlineStr">
        <is>
          <t>LOW</t>
        </is>
      </c>
      <c r="E147" s="2" t="inlineStr">
        <is>
          <t>No facility-specific brand relationship verified</t>
        </is>
      </c>
      <c r="F147" s="2" t="inlineStr">
        <is>
          <t>Search tender awards and catalogues</t>
        </is>
      </c>
      <c r="G147" s="2" t="inlineStr">
        <is>
          <t>Procurement portal / manufacturer</t>
        </is>
      </c>
      <c r="H147" s="2" t="inlineStr">
        <is>
          <t>NEEDS_VERIFICATION</t>
        </is>
      </c>
    </row>
    <row r="148">
      <c r="A148" s="2" t="inlineStr">
        <is>
          <t>Oman</t>
        </is>
      </c>
      <c r="B148" s="2" t="inlineStr">
        <is>
          <t>Rustaq Hospital</t>
        </is>
      </c>
      <c r="C148" s="2" t="inlineStr">
        <is>
          <t>HD stations</t>
        </is>
      </c>
      <c r="D148" s="2" t="inlineStr">
        <is>
          <t>MEDIUM</t>
        </is>
      </c>
      <c r="E148" s="2" t="inlineStr">
        <is>
          <t>Facility-level station count not disclosed in source</t>
        </is>
      </c>
      <c r="F148" s="2" t="inlineStr">
        <is>
          <t>Obtain facility capacity report or licensing record</t>
        </is>
      </c>
      <c r="G148" s="2" t="inlineStr">
        <is>
          <t>Health authority / facility annual report</t>
        </is>
      </c>
      <c r="H148" s="2" t="inlineStr">
        <is>
          <t>NEEDS_VERIFICATION</t>
        </is>
      </c>
    </row>
    <row r="149">
      <c r="A149" s="2" t="inlineStr">
        <is>
          <t>Oman</t>
        </is>
      </c>
      <c r="B149" s="2" t="inlineStr">
        <is>
          <t>Rustaq Hospital</t>
        </is>
      </c>
      <c r="C149" s="2" t="inlineStr">
        <is>
          <t>Distributor</t>
        </is>
      </c>
      <c r="D149" s="2" t="inlineStr">
        <is>
          <t>LOW</t>
        </is>
      </c>
      <c r="E149" s="2" t="inlineStr">
        <is>
          <t>No facility-specific distributor relationship verified</t>
        </is>
      </c>
      <c r="F149" s="2" t="inlineStr">
        <is>
          <t>Search procurement awards and supplier lists</t>
        </is>
      </c>
      <c r="G149" s="2" t="inlineStr">
        <is>
          <t>Procurement portal / facility procurement</t>
        </is>
      </c>
      <c r="H149" s="2" t="inlineStr">
        <is>
          <t>NEEDS_VERIFICATION</t>
        </is>
      </c>
    </row>
    <row r="150">
      <c r="A150" s="2" t="inlineStr">
        <is>
          <t>Oman</t>
        </is>
      </c>
      <c r="B150" s="2" t="inlineStr">
        <is>
          <t>Rustaq Hospital</t>
        </is>
      </c>
      <c r="C150" s="2" t="inlineStr">
        <is>
          <t>Manufacturer/brand</t>
        </is>
      </c>
      <c r="D150" s="2" t="inlineStr">
        <is>
          <t>LOW</t>
        </is>
      </c>
      <c r="E150" s="2" t="inlineStr">
        <is>
          <t>No facility-specific brand relationship verified</t>
        </is>
      </c>
      <c r="F150" s="2" t="inlineStr">
        <is>
          <t>Search tender awards and catalogues</t>
        </is>
      </c>
      <c r="G150" s="2" t="inlineStr">
        <is>
          <t>Procurement portal / manufacturer</t>
        </is>
      </c>
      <c r="H150" s="2" t="inlineStr">
        <is>
          <t>NEEDS_VERIFICATION</t>
        </is>
      </c>
    </row>
    <row r="151">
      <c r="A151" s="2" t="inlineStr">
        <is>
          <t>Oman</t>
        </is>
      </c>
      <c r="B151" s="2" t="inlineStr">
        <is>
          <t>Khasab Hospital</t>
        </is>
      </c>
      <c r="C151" s="2" t="inlineStr">
        <is>
          <t>HD stations</t>
        </is>
      </c>
      <c r="D151" s="2" t="inlineStr">
        <is>
          <t>MEDIUM</t>
        </is>
      </c>
      <c r="E151" s="2" t="inlineStr">
        <is>
          <t>Facility-level station count not disclosed in source</t>
        </is>
      </c>
      <c r="F151" s="2" t="inlineStr">
        <is>
          <t>Obtain facility capacity report or licensing record</t>
        </is>
      </c>
      <c r="G151" s="2" t="inlineStr">
        <is>
          <t>Health authority / facility annual report</t>
        </is>
      </c>
      <c r="H151" s="2" t="inlineStr">
        <is>
          <t>NEEDS_VERIFICATION</t>
        </is>
      </c>
    </row>
    <row r="152">
      <c r="A152" s="2" t="inlineStr">
        <is>
          <t>Oman</t>
        </is>
      </c>
      <c r="B152" s="2" t="inlineStr">
        <is>
          <t>Khasab Hospital</t>
        </is>
      </c>
      <c r="C152" s="2" t="inlineStr">
        <is>
          <t>Distributor</t>
        </is>
      </c>
      <c r="D152" s="2" t="inlineStr">
        <is>
          <t>LOW</t>
        </is>
      </c>
      <c r="E152" s="2" t="inlineStr">
        <is>
          <t>No facility-specific distributor relationship verified</t>
        </is>
      </c>
      <c r="F152" s="2" t="inlineStr">
        <is>
          <t>Search procurement awards and supplier lists</t>
        </is>
      </c>
      <c r="G152" s="2" t="inlineStr">
        <is>
          <t>Procurement portal / facility procurement</t>
        </is>
      </c>
      <c r="H152" s="2" t="inlineStr">
        <is>
          <t>NEEDS_VERIFICATION</t>
        </is>
      </c>
    </row>
    <row r="153">
      <c r="A153" s="2" t="inlineStr">
        <is>
          <t>Oman</t>
        </is>
      </c>
      <c r="B153" s="2" t="inlineStr">
        <is>
          <t>Khasab Hospital</t>
        </is>
      </c>
      <c r="C153" s="2" t="inlineStr">
        <is>
          <t>Manufacturer/brand</t>
        </is>
      </c>
      <c r="D153" s="2" t="inlineStr">
        <is>
          <t>LOW</t>
        </is>
      </c>
      <c r="E153" s="2" t="inlineStr">
        <is>
          <t>No facility-specific brand relationship verified</t>
        </is>
      </c>
      <c r="F153" s="2" t="inlineStr">
        <is>
          <t>Search tender awards and catalogues</t>
        </is>
      </c>
      <c r="G153" s="2" t="inlineStr">
        <is>
          <t>Procurement portal / manufacturer</t>
        </is>
      </c>
      <c r="H153" s="2" t="inlineStr">
        <is>
          <t>NEEDS_VERIFICATION</t>
        </is>
      </c>
    </row>
    <row r="154">
      <c r="A154" s="2" t="inlineStr">
        <is>
          <t>Oman</t>
        </is>
      </c>
      <c r="B154" s="2" t="inlineStr">
        <is>
          <t>Nizwa Hospital</t>
        </is>
      </c>
      <c r="C154" s="2" t="inlineStr">
        <is>
          <t>HD stations</t>
        </is>
      </c>
      <c r="D154" s="2" t="inlineStr">
        <is>
          <t>MEDIUM</t>
        </is>
      </c>
      <c r="E154" s="2" t="inlineStr">
        <is>
          <t>Facility-level station count not disclosed in source</t>
        </is>
      </c>
      <c r="F154" s="2" t="inlineStr">
        <is>
          <t>Obtain facility capacity report or licensing record</t>
        </is>
      </c>
      <c r="G154" s="2" t="inlineStr">
        <is>
          <t>Health authority / facility annual report</t>
        </is>
      </c>
      <c r="H154" s="2" t="inlineStr">
        <is>
          <t>NEEDS_VERIFICATION</t>
        </is>
      </c>
    </row>
    <row r="155">
      <c r="A155" s="2" t="inlineStr">
        <is>
          <t>Oman</t>
        </is>
      </c>
      <c r="B155" s="2" t="inlineStr">
        <is>
          <t>Nizwa Hospital</t>
        </is>
      </c>
      <c r="C155" s="2" t="inlineStr">
        <is>
          <t>Distributor</t>
        </is>
      </c>
      <c r="D155" s="2" t="inlineStr">
        <is>
          <t>LOW</t>
        </is>
      </c>
      <c r="E155" s="2" t="inlineStr">
        <is>
          <t>No facility-specific distributor relationship verified</t>
        </is>
      </c>
      <c r="F155" s="2" t="inlineStr">
        <is>
          <t>Search procurement awards and supplier lists</t>
        </is>
      </c>
      <c r="G155" s="2" t="inlineStr">
        <is>
          <t>Procurement portal / facility procurement</t>
        </is>
      </c>
      <c r="H155" s="2" t="inlineStr">
        <is>
          <t>NEEDS_VERIFICATION</t>
        </is>
      </c>
    </row>
    <row r="156">
      <c r="A156" s="2" t="inlineStr">
        <is>
          <t>Oman</t>
        </is>
      </c>
      <c r="B156" s="2" t="inlineStr">
        <is>
          <t>Nizwa Hospital</t>
        </is>
      </c>
      <c r="C156" s="2" t="inlineStr">
        <is>
          <t>Manufacturer/brand</t>
        </is>
      </c>
      <c r="D156" s="2" t="inlineStr">
        <is>
          <t>LOW</t>
        </is>
      </c>
      <c r="E156" s="2" t="inlineStr">
        <is>
          <t>No facility-specific brand relationship verified</t>
        </is>
      </c>
      <c r="F156" s="2" t="inlineStr">
        <is>
          <t>Search tender awards and catalogues</t>
        </is>
      </c>
      <c r="G156" s="2" t="inlineStr">
        <is>
          <t>Procurement portal / manufacturer</t>
        </is>
      </c>
      <c r="H156" s="2" t="inlineStr">
        <is>
          <t>NEEDS_VERIFICATION</t>
        </is>
      </c>
    </row>
    <row r="157">
      <c r="A157" s="2" t="inlineStr">
        <is>
          <t>Oman</t>
        </is>
      </c>
      <c r="B157" s="2" t="inlineStr">
        <is>
          <t>Bausher Renal Dialysis Center</t>
        </is>
      </c>
      <c r="C157" s="2" t="inlineStr">
        <is>
          <t>HD stations</t>
        </is>
      </c>
      <c r="D157" s="2" t="inlineStr">
        <is>
          <t>MEDIUM</t>
        </is>
      </c>
      <c r="E157" s="2" t="inlineStr">
        <is>
          <t>Facility-level station count not disclosed in source</t>
        </is>
      </c>
      <c r="F157" s="2" t="inlineStr">
        <is>
          <t>Obtain facility capacity report or licensing record</t>
        </is>
      </c>
      <c r="G157" s="2" t="inlineStr">
        <is>
          <t>Health authority / facility annual report</t>
        </is>
      </c>
      <c r="H157" s="2" t="inlineStr">
        <is>
          <t>NEEDS_VERIFICATION</t>
        </is>
      </c>
    </row>
    <row r="158">
      <c r="A158" s="2" t="inlineStr">
        <is>
          <t>Oman</t>
        </is>
      </c>
      <c r="B158" s="2" t="inlineStr">
        <is>
          <t>Bausher Renal Dialysis Center</t>
        </is>
      </c>
      <c r="C158" s="2" t="inlineStr">
        <is>
          <t>Distributor</t>
        </is>
      </c>
      <c r="D158" s="2" t="inlineStr">
        <is>
          <t>LOW</t>
        </is>
      </c>
      <c r="E158" s="2" t="inlineStr">
        <is>
          <t>No facility-specific distributor relationship verified</t>
        </is>
      </c>
      <c r="F158" s="2" t="inlineStr">
        <is>
          <t>Search procurement awards and supplier lists</t>
        </is>
      </c>
      <c r="G158" s="2" t="inlineStr">
        <is>
          <t>Procurement portal / facility procurement</t>
        </is>
      </c>
      <c r="H158" s="2" t="inlineStr">
        <is>
          <t>NEEDS_VERIFICATION</t>
        </is>
      </c>
    </row>
    <row r="159">
      <c r="A159" s="2" t="inlineStr">
        <is>
          <t>Oman</t>
        </is>
      </c>
      <c r="B159" s="2" t="inlineStr">
        <is>
          <t>Bausher Renal Dialysis Center</t>
        </is>
      </c>
      <c r="C159" s="2" t="inlineStr">
        <is>
          <t>Manufacturer/brand</t>
        </is>
      </c>
      <c r="D159" s="2" t="inlineStr">
        <is>
          <t>LOW</t>
        </is>
      </c>
      <c r="E159" s="2" t="inlineStr">
        <is>
          <t>No facility-specific brand relationship verified</t>
        </is>
      </c>
      <c r="F159" s="2" t="inlineStr">
        <is>
          <t>Search tender awards and catalogues</t>
        </is>
      </c>
      <c r="G159" s="2" t="inlineStr">
        <is>
          <t>Procurement portal / manufacturer</t>
        </is>
      </c>
      <c r="H159" s="2" t="inlineStr">
        <is>
          <t>NEEDS_VERIFICATION</t>
        </is>
      </c>
    </row>
    <row r="160">
      <c r="A160" s="2" t="inlineStr">
        <is>
          <t>Oman</t>
        </is>
      </c>
      <c r="B160" s="2" t="inlineStr">
        <is>
          <t>Sur Hospital</t>
        </is>
      </c>
      <c r="C160" s="2" t="inlineStr">
        <is>
          <t>HD stations</t>
        </is>
      </c>
      <c r="D160" s="2" t="inlineStr">
        <is>
          <t>MEDIUM</t>
        </is>
      </c>
      <c r="E160" s="2" t="inlineStr">
        <is>
          <t>Facility-level station count not disclosed in source</t>
        </is>
      </c>
      <c r="F160" s="2" t="inlineStr">
        <is>
          <t>Obtain facility capacity report or licensing record</t>
        </is>
      </c>
      <c r="G160" s="2" t="inlineStr">
        <is>
          <t>Health authority / facility annual report</t>
        </is>
      </c>
      <c r="H160" s="2" t="inlineStr">
        <is>
          <t>NEEDS_VERIFICATION</t>
        </is>
      </c>
    </row>
    <row r="161">
      <c r="A161" s="2" t="inlineStr">
        <is>
          <t>Oman</t>
        </is>
      </c>
      <c r="B161" s="2" t="inlineStr">
        <is>
          <t>Sur Hospital</t>
        </is>
      </c>
      <c r="C161" s="2" t="inlineStr">
        <is>
          <t>Distributor</t>
        </is>
      </c>
      <c r="D161" s="2" t="inlineStr">
        <is>
          <t>LOW</t>
        </is>
      </c>
      <c r="E161" s="2" t="inlineStr">
        <is>
          <t>No facility-specific distributor relationship verified</t>
        </is>
      </c>
      <c r="F161" s="2" t="inlineStr">
        <is>
          <t>Search procurement awards and supplier lists</t>
        </is>
      </c>
      <c r="G161" s="2" t="inlineStr">
        <is>
          <t>Procurement portal / facility procurement</t>
        </is>
      </c>
      <c r="H161" s="2" t="inlineStr">
        <is>
          <t>NEEDS_VERIFICATION</t>
        </is>
      </c>
    </row>
    <row r="162">
      <c r="A162" s="2" t="inlineStr">
        <is>
          <t>Oman</t>
        </is>
      </c>
      <c r="B162" s="2" t="inlineStr">
        <is>
          <t>Sur Hospital</t>
        </is>
      </c>
      <c r="C162" s="2" t="inlineStr">
        <is>
          <t>Manufacturer/brand</t>
        </is>
      </c>
      <c r="D162" s="2" t="inlineStr">
        <is>
          <t>LOW</t>
        </is>
      </c>
      <c r="E162" s="2" t="inlineStr">
        <is>
          <t>No facility-specific brand relationship verified</t>
        </is>
      </c>
      <c r="F162" s="2" t="inlineStr">
        <is>
          <t>Search tender awards and catalogues</t>
        </is>
      </c>
      <c r="G162" s="2" t="inlineStr">
        <is>
          <t>Procurement portal / manufacturer</t>
        </is>
      </c>
      <c r="H162" s="2" t="inlineStr">
        <is>
          <t>NEEDS_VERIFICATION</t>
        </is>
      </c>
    </row>
    <row r="163">
      <c r="A163" s="2" t="inlineStr">
        <is>
          <t>Oman</t>
        </is>
      </c>
      <c r="B163" s="2" t="inlineStr">
        <is>
          <t>Dibba Hospital</t>
        </is>
      </c>
      <c r="C163" s="2" t="inlineStr">
        <is>
          <t>HD stations</t>
        </is>
      </c>
      <c r="D163" s="2" t="inlineStr">
        <is>
          <t>MEDIUM</t>
        </is>
      </c>
      <c r="E163" s="2" t="inlineStr">
        <is>
          <t>Facility-level station count not disclosed in source</t>
        </is>
      </c>
      <c r="F163" s="2" t="inlineStr">
        <is>
          <t>Obtain facility capacity report or licensing record</t>
        </is>
      </c>
      <c r="G163" s="2" t="inlineStr">
        <is>
          <t>Health authority / facility annual report</t>
        </is>
      </c>
      <c r="H163" s="2" t="inlineStr">
        <is>
          <t>NEEDS_VERIFICATION</t>
        </is>
      </c>
    </row>
    <row r="164">
      <c r="A164" s="2" t="inlineStr">
        <is>
          <t>Oman</t>
        </is>
      </c>
      <c r="B164" s="2" t="inlineStr">
        <is>
          <t>Dibba Hospital</t>
        </is>
      </c>
      <c r="C164" s="2" t="inlineStr">
        <is>
          <t>Distributor</t>
        </is>
      </c>
      <c r="D164" s="2" t="inlineStr">
        <is>
          <t>LOW</t>
        </is>
      </c>
      <c r="E164" s="2" t="inlineStr">
        <is>
          <t>No facility-specific distributor relationship verified</t>
        </is>
      </c>
      <c r="F164" s="2" t="inlineStr">
        <is>
          <t>Search procurement awards and supplier lists</t>
        </is>
      </c>
      <c r="G164" s="2" t="inlineStr">
        <is>
          <t>Procurement portal / facility procurement</t>
        </is>
      </c>
      <c r="H164" s="2" t="inlineStr">
        <is>
          <t>NEEDS_VERIFICATION</t>
        </is>
      </c>
    </row>
    <row r="165">
      <c r="A165" s="2" t="inlineStr">
        <is>
          <t>Oman</t>
        </is>
      </c>
      <c r="B165" s="2" t="inlineStr">
        <is>
          <t>Dibba Hospital</t>
        </is>
      </c>
      <c r="C165" s="2" t="inlineStr">
        <is>
          <t>Manufacturer/brand</t>
        </is>
      </c>
      <c r="D165" s="2" t="inlineStr">
        <is>
          <t>LOW</t>
        </is>
      </c>
      <c r="E165" s="2" t="inlineStr">
        <is>
          <t>No facility-specific brand relationship verified</t>
        </is>
      </c>
      <c r="F165" s="2" t="inlineStr">
        <is>
          <t>Search tender awards and catalogues</t>
        </is>
      </c>
      <c r="G165" s="2" t="inlineStr">
        <is>
          <t>Procurement portal / manufacturer</t>
        </is>
      </c>
      <c r="H165" s="2" t="inlineStr">
        <is>
          <t>NEEDS_VERIFICATION</t>
        </is>
      </c>
    </row>
    <row r="166">
      <c r="A166" s="2" t="inlineStr">
        <is>
          <t>Oman</t>
        </is>
      </c>
      <c r="B166" s="2" t="inlineStr">
        <is>
          <t>Jaalan Bin Bu Ali Dialysis Unit</t>
        </is>
      </c>
      <c r="C166" s="2" t="inlineStr">
        <is>
          <t>HD stations</t>
        </is>
      </c>
      <c r="D166" s="2" t="inlineStr">
        <is>
          <t>MEDIUM</t>
        </is>
      </c>
      <c r="E166" s="2" t="inlineStr">
        <is>
          <t>Facility-level station count not disclosed in source</t>
        </is>
      </c>
      <c r="F166" s="2" t="inlineStr">
        <is>
          <t>Obtain facility capacity report or licensing record</t>
        </is>
      </c>
      <c r="G166" s="2" t="inlineStr">
        <is>
          <t>Health authority / facility annual report</t>
        </is>
      </c>
      <c r="H166" s="2" t="inlineStr">
        <is>
          <t>NEEDS_VERIFICATION</t>
        </is>
      </c>
    </row>
    <row r="167">
      <c r="A167" s="2" t="inlineStr">
        <is>
          <t>Oman</t>
        </is>
      </c>
      <c r="B167" s="2" t="inlineStr">
        <is>
          <t>Jaalan Bin Bu Ali Dialysis Unit</t>
        </is>
      </c>
      <c r="C167" s="2" t="inlineStr">
        <is>
          <t>Distributor</t>
        </is>
      </c>
      <c r="D167" s="2" t="inlineStr">
        <is>
          <t>LOW</t>
        </is>
      </c>
      <c r="E167" s="2" t="inlineStr">
        <is>
          <t>No facility-specific distributor relationship verified</t>
        </is>
      </c>
      <c r="F167" s="2" t="inlineStr">
        <is>
          <t>Search procurement awards and supplier lists</t>
        </is>
      </c>
      <c r="G167" s="2" t="inlineStr">
        <is>
          <t>Procurement portal / facility procurement</t>
        </is>
      </c>
      <c r="H167" s="2" t="inlineStr">
        <is>
          <t>NEEDS_VERIFICATION</t>
        </is>
      </c>
    </row>
    <row r="168">
      <c r="A168" s="2" t="inlineStr">
        <is>
          <t>Oman</t>
        </is>
      </c>
      <c r="B168" s="2" t="inlineStr">
        <is>
          <t>Jaalan Bin Bu Ali Dialysis Unit</t>
        </is>
      </c>
      <c r="C168" s="2" t="inlineStr">
        <is>
          <t>Manufacturer/brand</t>
        </is>
      </c>
      <c r="D168" s="2" t="inlineStr">
        <is>
          <t>LOW</t>
        </is>
      </c>
      <c r="E168" s="2" t="inlineStr">
        <is>
          <t>No facility-specific brand relationship verified</t>
        </is>
      </c>
      <c r="F168" s="2" t="inlineStr">
        <is>
          <t>Search tender awards and catalogues</t>
        </is>
      </c>
      <c r="G168" s="2" t="inlineStr">
        <is>
          <t>Procurement portal / manufacturer</t>
        </is>
      </c>
      <c r="H168" s="2" t="inlineStr">
        <is>
          <t>NEEDS_VERIFICATION</t>
        </is>
      </c>
    </row>
    <row r="169">
      <c r="A169" s="2" t="inlineStr">
        <is>
          <t>Oman</t>
        </is>
      </c>
      <c r="B169" s="2" t="inlineStr">
        <is>
          <t>Qurayyat Hospital</t>
        </is>
      </c>
      <c r="C169" s="2" t="inlineStr">
        <is>
          <t>HD stations</t>
        </is>
      </c>
      <c r="D169" s="2" t="inlineStr">
        <is>
          <t>MEDIUM</t>
        </is>
      </c>
      <c r="E169" s="2" t="inlineStr">
        <is>
          <t>Facility-level station count not disclosed in source</t>
        </is>
      </c>
      <c r="F169" s="2" t="inlineStr">
        <is>
          <t>Obtain facility capacity report or licensing record</t>
        </is>
      </c>
      <c r="G169" s="2" t="inlineStr">
        <is>
          <t>Health authority / facility annual report</t>
        </is>
      </c>
      <c r="H169" s="2" t="inlineStr">
        <is>
          <t>NEEDS_VERIFICATION</t>
        </is>
      </c>
    </row>
    <row r="170">
      <c r="A170" s="2" t="inlineStr">
        <is>
          <t>Oman</t>
        </is>
      </c>
      <c r="B170" s="2" t="inlineStr">
        <is>
          <t>Qurayyat Hospital</t>
        </is>
      </c>
      <c r="C170" s="2" t="inlineStr">
        <is>
          <t>Distributor</t>
        </is>
      </c>
      <c r="D170" s="2" t="inlineStr">
        <is>
          <t>LOW</t>
        </is>
      </c>
      <c r="E170" s="2" t="inlineStr">
        <is>
          <t>No facility-specific distributor relationship verified</t>
        </is>
      </c>
      <c r="F170" s="2" t="inlineStr">
        <is>
          <t>Search procurement awards and supplier lists</t>
        </is>
      </c>
      <c r="G170" s="2" t="inlineStr">
        <is>
          <t>Procurement portal / facility procurement</t>
        </is>
      </c>
      <c r="H170" s="2" t="inlineStr">
        <is>
          <t>NEEDS_VERIFICATION</t>
        </is>
      </c>
    </row>
    <row r="171">
      <c r="A171" s="2" t="inlineStr">
        <is>
          <t>Oman</t>
        </is>
      </c>
      <c r="B171" s="2" t="inlineStr">
        <is>
          <t>Qurayyat Hospital</t>
        </is>
      </c>
      <c r="C171" s="2" t="inlineStr">
        <is>
          <t>Manufacturer/brand</t>
        </is>
      </c>
      <c r="D171" s="2" t="inlineStr">
        <is>
          <t>LOW</t>
        </is>
      </c>
      <c r="E171" s="2" t="inlineStr">
        <is>
          <t>No facility-specific brand relationship verified</t>
        </is>
      </c>
      <c r="F171" s="2" t="inlineStr">
        <is>
          <t>Search tender awards and catalogues</t>
        </is>
      </c>
      <c r="G171" s="2" t="inlineStr">
        <is>
          <t>Procurement portal / manufacturer</t>
        </is>
      </c>
      <c r="H171" s="2" t="inlineStr">
        <is>
          <t>NEEDS_VERIFICATION</t>
        </is>
      </c>
    </row>
    <row r="172">
      <c r="A172" s="2" t="inlineStr">
        <is>
          <t>Oman</t>
        </is>
      </c>
      <c r="B172" s="2" t="inlineStr">
        <is>
          <t>Al Buraimi Hospital</t>
        </is>
      </c>
      <c r="C172" s="2" t="inlineStr">
        <is>
          <t>HD stations</t>
        </is>
      </c>
      <c r="D172" s="2" t="inlineStr">
        <is>
          <t>MEDIUM</t>
        </is>
      </c>
      <c r="E172" s="2" t="inlineStr">
        <is>
          <t>Facility-level station count not disclosed in source</t>
        </is>
      </c>
      <c r="F172" s="2" t="inlineStr">
        <is>
          <t>Obtain facility capacity report or licensing record</t>
        </is>
      </c>
      <c r="G172" s="2" t="inlineStr">
        <is>
          <t>Health authority / facility annual report</t>
        </is>
      </c>
      <c r="H172" s="2" t="inlineStr">
        <is>
          <t>NEEDS_VERIFICATION</t>
        </is>
      </c>
    </row>
    <row r="173">
      <c r="A173" s="2" t="inlineStr">
        <is>
          <t>Oman</t>
        </is>
      </c>
      <c r="B173" s="2" t="inlineStr">
        <is>
          <t>Al Buraimi Hospital</t>
        </is>
      </c>
      <c r="C173" s="2" t="inlineStr">
        <is>
          <t>Distributor</t>
        </is>
      </c>
      <c r="D173" s="2" t="inlineStr">
        <is>
          <t>LOW</t>
        </is>
      </c>
      <c r="E173" s="2" t="inlineStr">
        <is>
          <t>No facility-specific distributor relationship verified</t>
        </is>
      </c>
      <c r="F173" s="2" t="inlineStr">
        <is>
          <t>Search procurement awards and supplier lists</t>
        </is>
      </c>
      <c r="G173" s="2" t="inlineStr">
        <is>
          <t>Procurement portal / facility procurement</t>
        </is>
      </c>
      <c r="H173" s="2" t="inlineStr">
        <is>
          <t>NEEDS_VERIFICATION</t>
        </is>
      </c>
    </row>
    <row r="174">
      <c r="A174" s="2" t="inlineStr">
        <is>
          <t>Oman</t>
        </is>
      </c>
      <c r="B174" s="2" t="inlineStr">
        <is>
          <t>Al Buraimi Hospital</t>
        </is>
      </c>
      <c r="C174" s="2" t="inlineStr">
        <is>
          <t>Manufacturer/brand</t>
        </is>
      </c>
      <c r="D174" s="2" t="inlineStr">
        <is>
          <t>LOW</t>
        </is>
      </c>
      <c r="E174" s="2" t="inlineStr">
        <is>
          <t>No facility-specific brand relationship verified</t>
        </is>
      </c>
      <c r="F174" s="2" t="inlineStr">
        <is>
          <t>Search tender awards and catalogues</t>
        </is>
      </c>
      <c r="G174" s="2" t="inlineStr">
        <is>
          <t>Procurement portal / manufacturer</t>
        </is>
      </c>
      <c r="H174" s="2" t="inlineStr">
        <is>
          <t>NEEDS_VERIFICATION</t>
        </is>
      </c>
    </row>
    <row r="175">
      <c r="A175" s="2" t="inlineStr">
        <is>
          <t>Oman</t>
        </is>
      </c>
      <c r="B175" s="2" t="inlineStr">
        <is>
          <t>Musannah Renal Dialysis Center</t>
        </is>
      </c>
      <c r="C175" s="2" t="inlineStr">
        <is>
          <t>HD stations</t>
        </is>
      </c>
      <c r="D175" s="2" t="inlineStr">
        <is>
          <t>MEDIUM</t>
        </is>
      </c>
      <c r="E175" s="2" t="inlineStr">
        <is>
          <t>Facility-level station count not disclosed in source</t>
        </is>
      </c>
      <c r="F175" s="2" t="inlineStr">
        <is>
          <t>Obtain facility capacity report or licensing record</t>
        </is>
      </c>
      <c r="G175" s="2" t="inlineStr">
        <is>
          <t>Health authority / facility annual report</t>
        </is>
      </c>
      <c r="H175" s="2" t="inlineStr">
        <is>
          <t>NEEDS_VERIFICATION</t>
        </is>
      </c>
    </row>
    <row r="176">
      <c r="A176" s="2" t="inlineStr">
        <is>
          <t>Oman</t>
        </is>
      </c>
      <c r="B176" s="2" t="inlineStr">
        <is>
          <t>Musannah Renal Dialysis Center</t>
        </is>
      </c>
      <c r="C176" s="2" t="inlineStr">
        <is>
          <t>Distributor</t>
        </is>
      </c>
      <c r="D176" s="2" t="inlineStr">
        <is>
          <t>LOW</t>
        </is>
      </c>
      <c r="E176" s="2" t="inlineStr">
        <is>
          <t>No facility-specific distributor relationship verified</t>
        </is>
      </c>
      <c r="F176" s="2" t="inlineStr">
        <is>
          <t>Search procurement awards and supplier lists</t>
        </is>
      </c>
      <c r="G176" s="2" t="inlineStr">
        <is>
          <t>Procurement portal / facility procurement</t>
        </is>
      </c>
      <c r="H176" s="2" t="inlineStr">
        <is>
          <t>NEEDS_VERIFICATION</t>
        </is>
      </c>
    </row>
    <row r="177">
      <c r="A177" s="2" t="inlineStr">
        <is>
          <t>Oman</t>
        </is>
      </c>
      <c r="B177" s="2" t="inlineStr">
        <is>
          <t>Musannah Renal Dialysis Center</t>
        </is>
      </c>
      <c r="C177" s="2" t="inlineStr">
        <is>
          <t>Manufacturer/brand</t>
        </is>
      </c>
      <c r="D177" s="2" t="inlineStr">
        <is>
          <t>LOW</t>
        </is>
      </c>
      <c r="E177" s="2" t="inlineStr">
        <is>
          <t>No facility-specific brand relationship verified</t>
        </is>
      </c>
      <c r="F177" s="2" t="inlineStr">
        <is>
          <t>Search tender awards and catalogues</t>
        </is>
      </c>
      <c r="G177" s="2" t="inlineStr">
        <is>
          <t>Procurement portal / manufacturer</t>
        </is>
      </c>
      <c r="H177" s="2" t="inlineStr">
        <is>
          <t>NEEDS_VERIFICATION</t>
        </is>
      </c>
    </row>
    <row r="178">
      <c r="A178" s="2" t="inlineStr">
        <is>
          <t>Oman</t>
        </is>
      </c>
      <c r="B178" s="2" t="inlineStr">
        <is>
          <t>Samael Renal Dialysis Center</t>
        </is>
      </c>
      <c r="C178" s="2" t="inlineStr">
        <is>
          <t>HD stations</t>
        </is>
      </c>
      <c r="D178" s="2" t="inlineStr">
        <is>
          <t>MEDIUM</t>
        </is>
      </c>
      <c r="E178" s="2" t="inlineStr">
        <is>
          <t>Facility-level station count not disclosed in source</t>
        </is>
      </c>
      <c r="F178" s="2" t="inlineStr">
        <is>
          <t>Obtain facility capacity report or licensing record</t>
        </is>
      </c>
      <c r="G178" s="2" t="inlineStr">
        <is>
          <t>Health authority / facility annual report</t>
        </is>
      </c>
      <c r="H178" s="2" t="inlineStr">
        <is>
          <t>NEEDS_VERIFICATION</t>
        </is>
      </c>
    </row>
    <row r="179">
      <c r="A179" s="2" t="inlineStr">
        <is>
          <t>Oman</t>
        </is>
      </c>
      <c r="B179" s="2" t="inlineStr">
        <is>
          <t>Samael Renal Dialysis Center</t>
        </is>
      </c>
      <c r="C179" s="2" t="inlineStr">
        <is>
          <t>Distributor</t>
        </is>
      </c>
      <c r="D179" s="2" t="inlineStr">
        <is>
          <t>LOW</t>
        </is>
      </c>
      <c r="E179" s="2" t="inlineStr">
        <is>
          <t>No facility-specific distributor relationship verified</t>
        </is>
      </c>
      <c r="F179" s="2" t="inlineStr">
        <is>
          <t>Search procurement awards and supplier lists</t>
        </is>
      </c>
      <c r="G179" s="2" t="inlineStr">
        <is>
          <t>Procurement portal / facility procurement</t>
        </is>
      </c>
      <c r="H179" s="2" t="inlineStr">
        <is>
          <t>NEEDS_VERIFICATION</t>
        </is>
      </c>
    </row>
    <row r="180">
      <c r="A180" s="2" t="inlineStr">
        <is>
          <t>Oman</t>
        </is>
      </c>
      <c r="B180" s="2" t="inlineStr">
        <is>
          <t>Samael Renal Dialysis Center</t>
        </is>
      </c>
      <c r="C180" s="2" t="inlineStr">
        <is>
          <t>Manufacturer/brand</t>
        </is>
      </c>
      <c r="D180" s="2" t="inlineStr">
        <is>
          <t>LOW</t>
        </is>
      </c>
      <c r="E180" s="2" t="inlineStr">
        <is>
          <t>No facility-specific brand relationship verified</t>
        </is>
      </c>
      <c r="F180" s="2" t="inlineStr">
        <is>
          <t>Search tender awards and catalogues</t>
        </is>
      </c>
      <c r="G180" s="2" t="inlineStr">
        <is>
          <t>Procurement portal / manufacturer</t>
        </is>
      </c>
      <c r="H180" s="2" t="inlineStr">
        <is>
          <t>NEEDS_VERIFICATION</t>
        </is>
      </c>
    </row>
    <row r="181">
      <c r="A181" s="2" t="inlineStr">
        <is>
          <t>Oman</t>
        </is>
      </c>
      <c r="B181" s="2" t="inlineStr">
        <is>
          <t>Sinaw Hospital</t>
        </is>
      </c>
      <c r="C181" s="2" t="inlineStr">
        <is>
          <t>HD stations</t>
        </is>
      </c>
      <c r="D181" s="2" t="inlineStr">
        <is>
          <t>MEDIUM</t>
        </is>
      </c>
      <c r="E181" s="2" t="inlineStr">
        <is>
          <t>Facility-level station count not disclosed in source</t>
        </is>
      </c>
      <c r="F181" s="2" t="inlineStr">
        <is>
          <t>Obtain facility capacity report or licensing record</t>
        </is>
      </c>
      <c r="G181" s="2" t="inlineStr">
        <is>
          <t>Health authority / facility annual report</t>
        </is>
      </c>
      <c r="H181" s="2" t="inlineStr">
        <is>
          <t>NEEDS_VERIFICATION</t>
        </is>
      </c>
    </row>
    <row r="182">
      <c r="A182" s="2" t="inlineStr">
        <is>
          <t>Oman</t>
        </is>
      </c>
      <c r="B182" s="2" t="inlineStr">
        <is>
          <t>Sinaw Hospital</t>
        </is>
      </c>
      <c r="C182" s="2" t="inlineStr">
        <is>
          <t>Distributor</t>
        </is>
      </c>
      <c r="D182" s="2" t="inlineStr">
        <is>
          <t>LOW</t>
        </is>
      </c>
      <c r="E182" s="2" t="inlineStr">
        <is>
          <t>No facility-specific distributor relationship verified</t>
        </is>
      </c>
      <c r="F182" s="2" t="inlineStr">
        <is>
          <t>Search procurement awards and supplier lists</t>
        </is>
      </c>
      <c r="G182" s="2" t="inlineStr">
        <is>
          <t>Procurement portal / facility procurement</t>
        </is>
      </c>
      <c r="H182" s="2" t="inlineStr">
        <is>
          <t>NEEDS_VERIFICATION</t>
        </is>
      </c>
    </row>
    <row r="183">
      <c r="A183" s="2" t="inlineStr">
        <is>
          <t>Oman</t>
        </is>
      </c>
      <c r="B183" s="2" t="inlineStr">
        <is>
          <t>Sinaw Hospital</t>
        </is>
      </c>
      <c r="C183" s="2" t="inlineStr">
        <is>
          <t>Manufacturer/brand</t>
        </is>
      </c>
      <c r="D183" s="2" t="inlineStr">
        <is>
          <t>LOW</t>
        </is>
      </c>
      <c r="E183" s="2" t="inlineStr">
        <is>
          <t>No facility-specific brand relationship verified</t>
        </is>
      </c>
      <c r="F183" s="2" t="inlineStr">
        <is>
          <t>Search tender awards and catalogues</t>
        </is>
      </c>
      <c r="G183" s="2" t="inlineStr">
        <is>
          <t>Procurement portal / manufacturer</t>
        </is>
      </c>
      <c r="H183" s="2" t="inlineStr">
        <is>
          <t>NEEDS_VERIFICATION</t>
        </is>
      </c>
    </row>
    <row r="184">
      <c r="A184" s="2" t="inlineStr">
        <is>
          <t>Oman</t>
        </is>
      </c>
      <c r="B184" s="2" t="inlineStr">
        <is>
          <t>Al Seeb Renal Dialysis Center</t>
        </is>
      </c>
      <c r="C184" s="2" t="inlineStr">
        <is>
          <t>HD stations</t>
        </is>
      </c>
      <c r="D184" s="2" t="inlineStr">
        <is>
          <t>MEDIUM</t>
        </is>
      </c>
      <c r="E184" s="2" t="inlineStr">
        <is>
          <t>Facility-level station count not disclosed in source</t>
        </is>
      </c>
      <c r="F184" s="2" t="inlineStr">
        <is>
          <t>Obtain facility capacity report or licensing record</t>
        </is>
      </c>
      <c r="G184" s="2" t="inlineStr">
        <is>
          <t>Health authority / facility annual report</t>
        </is>
      </c>
      <c r="H184" s="2" t="inlineStr">
        <is>
          <t>NEEDS_VERIFICATION</t>
        </is>
      </c>
    </row>
    <row r="185">
      <c r="A185" s="2" t="inlineStr">
        <is>
          <t>Oman</t>
        </is>
      </c>
      <c r="B185" s="2" t="inlineStr">
        <is>
          <t>Al Seeb Renal Dialysis Center</t>
        </is>
      </c>
      <c r="C185" s="2" t="inlineStr">
        <is>
          <t>Distributor</t>
        </is>
      </c>
      <c r="D185" s="2" t="inlineStr">
        <is>
          <t>LOW</t>
        </is>
      </c>
      <c r="E185" s="2" t="inlineStr">
        <is>
          <t>No facility-specific distributor relationship verified</t>
        </is>
      </c>
      <c r="F185" s="2" t="inlineStr">
        <is>
          <t>Search procurement awards and supplier lists</t>
        </is>
      </c>
      <c r="G185" s="2" t="inlineStr">
        <is>
          <t>Procurement portal / facility procurement</t>
        </is>
      </c>
      <c r="H185" s="2" t="inlineStr">
        <is>
          <t>NEEDS_VERIFICATION</t>
        </is>
      </c>
    </row>
    <row r="186">
      <c r="A186" s="2" t="inlineStr">
        <is>
          <t>Oman</t>
        </is>
      </c>
      <c r="B186" s="2" t="inlineStr">
        <is>
          <t>Al Seeb Renal Dialysis Center</t>
        </is>
      </c>
      <c r="C186" s="2" t="inlineStr">
        <is>
          <t>Manufacturer/brand</t>
        </is>
      </c>
      <c r="D186" s="2" t="inlineStr">
        <is>
          <t>LOW</t>
        </is>
      </c>
      <c r="E186" s="2" t="inlineStr">
        <is>
          <t>No facility-specific brand relationship verified</t>
        </is>
      </c>
      <c r="F186" s="2" t="inlineStr">
        <is>
          <t>Search tender awards and catalogues</t>
        </is>
      </c>
      <c r="G186" s="2" t="inlineStr">
        <is>
          <t>Procurement portal / manufacturer</t>
        </is>
      </c>
      <c r="H186" s="2" t="inlineStr">
        <is>
          <t>NEEDS_VERIFICATION</t>
        </is>
      </c>
    </row>
    <row r="187">
      <c r="A187" s="2" t="inlineStr">
        <is>
          <t>Oman</t>
        </is>
      </c>
      <c r="B187" s="2" t="inlineStr">
        <is>
          <t>Al Amerat Renal Dialysis Center</t>
        </is>
      </c>
      <c r="C187" s="2" t="inlineStr">
        <is>
          <t>HD stations</t>
        </is>
      </c>
      <c r="D187" s="2" t="inlineStr">
        <is>
          <t>MEDIUM</t>
        </is>
      </c>
      <c r="E187" s="2" t="inlineStr">
        <is>
          <t>Facility-level station count not disclosed in source</t>
        </is>
      </c>
      <c r="F187" s="2" t="inlineStr">
        <is>
          <t>Obtain facility capacity report or licensing record</t>
        </is>
      </c>
      <c r="G187" s="2" t="inlineStr">
        <is>
          <t>Health authority / facility annual report</t>
        </is>
      </c>
      <c r="H187" s="2" t="inlineStr">
        <is>
          <t>NEEDS_VERIFICATION</t>
        </is>
      </c>
    </row>
    <row r="188">
      <c r="A188" s="2" t="inlineStr">
        <is>
          <t>Oman</t>
        </is>
      </c>
      <c r="B188" s="2" t="inlineStr">
        <is>
          <t>Al Amerat Renal Dialysis Center</t>
        </is>
      </c>
      <c r="C188" s="2" t="inlineStr">
        <is>
          <t>Distributor</t>
        </is>
      </c>
      <c r="D188" s="2" t="inlineStr">
        <is>
          <t>LOW</t>
        </is>
      </c>
      <c r="E188" s="2" t="inlineStr">
        <is>
          <t>No facility-specific distributor relationship verified</t>
        </is>
      </c>
      <c r="F188" s="2" t="inlineStr">
        <is>
          <t>Search procurement awards and supplier lists</t>
        </is>
      </c>
      <c r="G188" s="2" t="inlineStr">
        <is>
          <t>Procurement portal / facility procurement</t>
        </is>
      </c>
      <c r="H188" s="2" t="inlineStr">
        <is>
          <t>NEEDS_VERIFICATION</t>
        </is>
      </c>
    </row>
    <row r="189">
      <c r="A189" s="2" t="inlineStr">
        <is>
          <t>Oman</t>
        </is>
      </c>
      <c r="B189" s="2" t="inlineStr">
        <is>
          <t>Al Amerat Renal Dialysis Center</t>
        </is>
      </c>
      <c r="C189" s="2" t="inlineStr">
        <is>
          <t>Manufacturer/brand</t>
        </is>
      </c>
      <c r="D189" s="2" t="inlineStr">
        <is>
          <t>LOW</t>
        </is>
      </c>
      <c r="E189" s="2" t="inlineStr">
        <is>
          <t>No facility-specific brand relationship verified</t>
        </is>
      </c>
      <c r="F189" s="2" t="inlineStr">
        <is>
          <t>Search tender awards and catalogues</t>
        </is>
      </c>
      <c r="G189" s="2" t="inlineStr">
        <is>
          <t>Procurement portal / manufacturer</t>
        </is>
      </c>
      <c r="H189" s="2" t="inlineStr">
        <is>
          <t>NEEDS_VERIFICATION</t>
        </is>
      </c>
    </row>
    <row r="190">
      <c r="A190" s="2" t="inlineStr">
        <is>
          <t>Bahrain</t>
        </is>
      </c>
      <c r="B190" s="2" t="inlineStr">
        <is>
          <t>Abdulrahman Kanoo Dialysis Center</t>
        </is>
      </c>
      <c r="C190" s="2" t="inlineStr">
        <is>
          <t>HD stations</t>
        </is>
      </c>
      <c r="D190" s="2" t="inlineStr">
        <is>
          <t>MEDIUM</t>
        </is>
      </c>
      <c r="E190" s="2" t="inlineStr">
        <is>
          <t>Facility-level station count not disclosed in source</t>
        </is>
      </c>
      <c r="F190" s="2" t="inlineStr">
        <is>
          <t>Obtain facility capacity report or licensing record</t>
        </is>
      </c>
      <c r="G190" s="2" t="inlineStr">
        <is>
          <t>Health authority / facility annual report</t>
        </is>
      </c>
      <c r="H190" s="2" t="inlineStr">
        <is>
          <t>NEEDS_VERIFICATION</t>
        </is>
      </c>
    </row>
    <row r="191">
      <c r="A191" s="2" t="inlineStr">
        <is>
          <t>Bahrain</t>
        </is>
      </c>
      <c r="B191" s="2" t="inlineStr">
        <is>
          <t>Abdulrahman Kanoo Dialysis Center</t>
        </is>
      </c>
      <c r="C191" s="2" t="inlineStr">
        <is>
          <t>Distributor</t>
        </is>
      </c>
      <c r="D191" s="2" t="inlineStr">
        <is>
          <t>LOW</t>
        </is>
      </c>
      <c r="E191" s="2" t="inlineStr">
        <is>
          <t>No facility-specific distributor relationship verified</t>
        </is>
      </c>
      <c r="F191" s="2" t="inlineStr">
        <is>
          <t>Search procurement awards and supplier lists</t>
        </is>
      </c>
      <c r="G191" s="2" t="inlineStr">
        <is>
          <t>Procurement portal / facility procurement</t>
        </is>
      </c>
      <c r="H191" s="2" t="inlineStr">
        <is>
          <t>NEEDS_VERIFICATION</t>
        </is>
      </c>
    </row>
    <row r="192">
      <c r="A192" s="2" t="inlineStr">
        <is>
          <t>Bahrain</t>
        </is>
      </c>
      <c r="B192" s="2" t="inlineStr">
        <is>
          <t>Abdulrahman Kanoo Dialysis Center</t>
        </is>
      </c>
      <c r="C192" s="2" t="inlineStr">
        <is>
          <t>Manufacturer/brand</t>
        </is>
      </c>
      <c r="D192" s="2" t="inlineStr">
        <is>
          <t>LOW</t>
        </is>
      </c>
      <c r="E192" s="2" t="inlineStr">
        <is>
          <t>No facility-specific brand relationship verified</t>
        </is>
      </c>
      <c r="F192" s="2" t="inlineStr">
        <is>
          <t>Search tender awards and catalogues</t>
        </is>
      </c>
      <c r="G192" s="2" t="inlineStr">
        <is>
          <t>Procurement portal / manufacturer</t>
        </is>
      </c>
      <c r="H192" s="2" t="inlineStr">
        <is>
          <t>NEEDS_VERIFICATION</t>
        </is>
      </c>
    </row>
    <row r="193">
      <c r="A193" s="2" t="inlineStr">
        <is>
          <t>Bahrain</t>
        </is>
      </c>
      <c r="B193" s="2" t="inlineStr">
        <is>
          <t>Salmaniya Medical Complex</t>
        </is>
      </c>
      <c r="C193" s="2" t="inlineStr">
        <is>
          <t>HD stations</t>
        </is>
      </c>
      <c r="D193" s="2" t="inlineStr">
        <is>
          <t>MEDIUM</t>
        </is>
      </c>
      <c r="E193" s="2" t="inlineStr">
        <is>
          <t>Facility-level station count not disclosed in source</t>
        </is>
      </c>
      <c r="F193" s="2" t="inlineStr">
        <is>
          <t>Obtain facility capacity report or licensing record</t>
        </is>
      </c>
      <c r="G193" s="2" t="inlineStr">
        <is>
          <t>Health authority / facility annual report</t>
        </is>
      </c>
      <c r="H193" s="2" t="inlineStr">
        <is>
          <t>NEEDS_VERIFICATION</t>
        </is>
      </c>
    </row>
    <row r="194">
      <c r="A194" s="2" t="inlineStr">
        <is>
          <t>Bahrain</t>
        </is>
      </c>
      <c r="B194" s="2" t="inlineStr">
        <is>
          <t>Salmaniya Medical Complex</t>
        </is>
      </c>
      <c r="C194" s="2" t="inlineStr">
        <is>
          <t>Distributor</t>
        </is>
      </c>
      <c r="D194" s="2" t="inlineStr">
        <is>
          <t>LOW</t>
        </is>
      </c>
      <c r="E194" s="2" t="inlineStr">
        <is>
          <t>No facility-specific distributor relationship verified</t>
        </is>
      </c>
      <c r="F194" s="2" t="inlineStr">
        <is>
          <t>Search procurement awards and supplier lists</t>
        </is>
      </c>
      <c r="G194" s="2" t="inlineStr">
        <is>
          <t>Procurement portal / facility procurement</t>
        </is>
      </c>
      <c r="H194" s="2" t="inlineStr">
        <is>
          <t>NEEDS_VERIFICATION</t>
        </is>
      </c>
    </row>
    <row r="195">
      <c r="A195" s="2" t="inlineStr">
        <is>
          <t>Bahrain</t>
        </is>
      </c>
      <c r="B195" s="2" t="inlineStr">
        <is>
          <t>Salmaniya Medical Complex</t>
        </is>
      </c>
      <c r="C195" s="2" t="inlineStr">
        <is>
          <t>Manufacturer/brand</t>
        </is>
      </c>
      <c r="D195" s="2" t="inlineStr">
        <is>
          <t>LOW</t>
        </is>
      </c>
      <c r="E195" s="2" t="inlineStr">
        <is>
          <t>No facility-specific brand relationship verified</t>
        </is>
      </c>
      <c r="F195" s="2" t="inlineStr">
        <is>
          <t>Search tender awards and catalogues</t>
        </is>
      </c>
      <c r="G195" s="2" t="inlineStr">
        <is>
          <t>Procurement portal / manufacturer</t>
        </is>
      </c>
      <c r="H195" s="2" t="inlineStr">
        <is>
          <t>NEEDS_VERIFICATION</t>
        </is>
      </c>
    </row>
    <row r="196">
      <c r="A196" s="2" t="inlineStr">
        <is>
          <t>Jordan</t>
        </is>
      </c>
      <c r="B196" s="2" t="inlineStr">
        <is>
          <t>King Abdullah University Hospital</t>
        </is>
      </c>
      <c r="C196" s="2" t="inlineStr">
        <is>
          <t>HD stations</t>
        </is>
      </c>
      <c r="D196" s="2" t="inlineStr">
        <is>
          <t>MEDIUM</t>
        </is>
      </c>
      <c r="E196" s="2" t="inlineStr">
        <is>
          <t>Facility-level station count not disclosed in source</t>
        </is>
      </c>
      <c r="F196" s="2" t="inlineStr">
        <is>
          <t>Obtain facility capacity report or licensing record</t>
        </is>
      </c>
      <c r="G196" s="2" t="inlineStr">
        <is>
          <t>Health authority / facility annual report</t>
        </is>
      </c>
      <c r="H196" s="2" t="inlineStr">
        <is>
          <t>NEEDS_VERIFICATION</t>
        </is>
      </c>
    </row>
    <row r="197">
      <c r="A197" s="2" t="inlineStr">
        <is>
          <t>Jordan</t>
        </is>
      </c>
      <c r="B197" s="2" t="inlineStr">
        <is>
          <t>King Abdullah University Hospital</t>
        </is>
      </c>
      <c r="C197" s="2" t="inlineStr">
        <is>
          <t>Distributor</t>
        </is>
      </c>
      <c r="D197" s="2" t="inlineStr">
        <is>
          <t>LOW</t>
        </is>
      </c>
      <c r="E197" s="2" t="inlineStr">
        <is>
          <t>No facility-specific distributor relationship verified</t>
        </is>
      </c>
      <c r="F197" s="2" t="inlineStr">
        <is>
          <t>Search procurement awards and supplier lists</t>
        </is>
      </c>
      <c r="G197" s="2" t="inlineStr">
        <is>
          <t>Procurement portal / facility procurement</t>
        </is>
      </c>
      <c r="H197" s="2" t="inlineStr">
        <is>
          <t>NEEDS_VERIFICATION</t>
        </is>
      </c>
    </row>
    <row r="198">
      <c r="A198" s="2" t="inlineStr">
        <is>
          <t>Jordan</t>
        </is>
      </c>
      <c r="B198" s="2" t="inlineStr">
        <is>
          <t>King Abdullah University Hospital</t>
        </is>
      </c>
      <c r="C198" s="2" t="inlineStr">
        <is>
          <t>Manufacturer/brand</t>
        </is>
      </c>
      <c r="D198" s="2" t="inlineStr">
        <is>
          <t>LOW</t>
        </is>
      </c>
      <c r="E198" s="2" t="inlineStr">
        <is>
          <t>No facility-specific brand relationship verified</t>
        </is>
      </c>
      <c r="F198" s="2" t="inlineStr">
        <is>
          <t>Search tender awards and catalogues</t>
        </is>
      </c>
      <c r="G198" s="2" t="inlineStr">
        <is>
          <t>Procurement portal / manufacturer</t>
        </is>
      </c>
      <c r="H198" s="2" t="inlineStr">
        <is>
          <t>NEEDS_VERIFICATION</t>
        </is>
      </c>
    </row>
    <row r="199">
      <c r="A199" s="2" t="inlineStr">
        <is>
          <t>Jordan</t>
        </is>
      </c>
      <c r="B199" s="2" t="inlineStr">
        <is>
          <t>Jordan University Hospital</t>
        </is>
      </c>
      <c r="C199" s="2" t="inlineStr">
        <is>
          <t>HD stations</t>
        </is>
      </c>
      <c r="D199" s="2" t="inlineStr">
        <is>
          <t>MEDIUM</t>
        </is>
      </c>
      <c r="E199" s="2" t="inlineStr">
        <is>
          <t>Facility-level station count not disclosed in source</t>
        </is>
      </c>
      <c r="F199" s="2" t="inlineStr">
        <is>
          <t>Obtain facility capacity report or licensing record</t>
        </is>
      </c>
      <c r="G199" s="2" t="inlineStr">
        <is>
          <t>Health authority / facility annual report</t>
        </is>
      </c>
      <c r="H199" s="2" t="inlineStr">
        <is>
          <t>NEEDS_VERIFICATION</t>
        </is>
      </c>
    </row>
    <row r="200">
      <c r="A200" s="2" t="inlineStr">
        <is>
          <t>Jordan</t>
        </is>
      </c>
      <c r="B200" s="2" t="inlineStr">
        <is>
          <t>Jordan University Hospital</t>
        </is>
      </c>
      <c r="C200" s="2" t="inlineStr">
        <is>
          <t>Distributor</t>
        </is>
      </c>
      <c r="D200" s="2" t="inlineStr">
        <is>
          <t>LOW</t>
        </is>
      </c>
      <c r="E200" s="2" t="inlineStr">
        <is>
          <t>No facility-specific distributor relationship verified</t>
        </is>
      </c>
      <c r="F200" s="2" t="inlineStr">
        <is>
          <t>Search procurement awards and supplier lists</t>
        </is>
      </c>
      <c r="G200" s="2" t="inlineStr">
        <is>
          <t>Procurement portal / facility procurement</t>
        </is>
      </c>
      <c r="H200" s="2" t="inlineStr">
        <is>
          <t>NEEDS_VERIFICATION</t>
        </is>
      </c>
    </row>
    <row r="201">
      <c r="A201" s="2" t="inlineStr">
        <is>
          <t>Jordan</t>
        </is>
      </c>
      <c r="B201" s="2" t="inlineStr">
        <is>
          <t>Jordan University Hospital</t>
        </is>
      </c>
      <c r="C201" s="2" t="inlineStr">
        <is>
          <t>Manufacturer/brand</t>
        </is>
      </c>
      <c r="D201" s="2" t="inlineStr">
        <is>
          <t>LOW</t>
        </is>
      </c>
      <c r="E201" s="2" t="inlineStr">
        <is>
          <t>No facility-specific brand relationship verified</t>
        </is>
      </c>
      <c r="F201" s="2" t="inlineStr">
        <is>
          <t>Search tender awards and catalogues</t>
        </is>
      </c>
      <c r="G201" s="2" t="inlineStr">
        <is>
          <t>Procurement portal / manufacturer</t>
        </is>
      </c>
      <c r="H201" s="2" t="inlineStr">
        <is>
          <t>NEEDS_VERIFICATION</t>
        </is>
      </c>
    </row>
    <row r="202">
      <c r="A202" s="2" t="inlineStr">
        <is>
          <t>Jordan</t>
        </is>
      </c>
      <c r="B202" s="2" t="inlineStr">
        <is>
          <t>Princess Basma Hospital</t>
        </is>
      </c>
      <c r="C202" s="2" t="inlineStr">
        <is>
          <t>HD stations</t>
        </is>
      </c>
      <c r="D202" s="2" t="inlineStr">
        <is>
          <t>MEDIUM</t>
        </is>
      </c>
      <c r="E202" s="2" t="inlineStr">
        <is>
          <t>Facility-level station count not disclosed in source</t>
        </is>
      </c>
      <c r="F202" s="2" t="inlineStr">
        <is>
          <t>Obtain facility capacity report or licensing record</t>
        </is>
      </c>
      <c r="G202" s="2" t="inlineStr">
        <is>
          <t>Health authority / facility annual report</t>
        </is>
      </c>
      <c r="H202" s="2" t="inlineStr">
        <is>
          <t>NEEDS_VERIFICATION</t>
        </is>
      </c>
    </row>
    <row r="203">
      <c r="A203" s="2" t="inlineStr">
        <is>
          <t>Jordan</t>
        </is>
      </c>
      <c r="B203" s="2" t="inlineStr">
        <is>
          <t>Princess Basma Hospital</t>
        </is>
      </c>
      <c r="C203" s="2" t="inlineStr">
        <is>
          <t>Distributor</t>
        </is>
      </c>
      <c r="D203" s="2" t="inlineStr">
        <is>
          <t>LOW</t>
        </is>
      </c>
      <c r="E203" s="2" t="inlineStr">
        <is>
          <t>No facility-specific distributor relationship verified</t>
        </is>
      </c>
      <c r="F203" s="2" t="inlineStr">
        <is>
          <t>Search procurement awards and supplier lists</t>
        </is>
      </c>
      <c r="G203" s="2" t="inlineStr">
        <is>
          <t>Procurement portal / facility procurement</t>
        </is>
      </c>
      <c r="H203" s="2" t="inlineStr">
        <is>
          <t>NEEDS_VERIFICATION</t>
        </is>
      </c>
    </row>
    <row r="204">
      <c r="A204" s="2" t="inlineStr">
        <is>
          <t>Jordan</t>
        </is>
      </c>
      <c r="B204" s="2" t="inlineStr">
        <is>
          <t>Princess Basma Hospital</t>
        </is>
      </c>
      <c r="C204" s="2" t="inlineStr">
        <is>
          <t>Manufacturer/brand</t>
        </is>
      </c>
      <c r="D204" s="2" t="inlineStr">
        <is>
          <t>LOW</t>
        </is>
      </c>
      <c r="E204" s="2" t="inlineStr">
        <is>
          <t>No facility-specific brand relationship verified</t>
        </is>
      </c>
      <c r="F204" s="2" t="inlineStr">
        <is>
          <t>Search tender awards and catalogues</t>
        </is>
      </c>
      <c r="G204" s="2" t="inlineStr">
        <is>
          <t>Procurement portal / manufacturer</t>
        </is>
      </c>
      <c r="H204" s="2" t="inlineStr">
        <is>
          <t>NEEDS_VERIFICATION</t>
        </is>
      </c>
    </row>
    <row r="205">
      <c r="A205" s="2" t="inlineStr">
        <is>
          <t>Jordan</t>
        </is>
      </c>
      <c r="B205" s="2" t="inlineStr">
        <is>
          <t>Al-Ramtha Governmental Hospital</t>
        </is>
      </c>
      <c r="C205" s="2" t="inlineStr">
        <is>
          <t>HD stations</t>
        </is>
      </c>
      <c r="D205" s="2" t="inlineStr">
        <is>
          <t>MEDIUM</t>
        </is>
      </c>
      <c r="E205" s="2" t="inlineStr">
        <is>
          <t>Facility-level station count not disclosed in source</t>
        </is>
      </c>
      <c r="F205" s="2" t="inlineStr">
        <is>
          <t>Obtain facility capacity report or licensing record</t>
        </is>
      </c>
      <c r="G205" s="2" t="inlineStr">
        <is>
          <t>Health authority / facility annual report</t>
        </is>
      </c>
      <c r="H205" s="2" t="inlineStr">
        <is>
          <t>NEEDS_VERIFICATION</t>
        </is>
      </c>
    </row>
    <row r="206">
      <c r="A206" s="2" t="inlineStr">
        <is>
          <t>Jordan</t>
        </is>
      </c>
      <c r="B206" s="2" t="inlineStr">
        <is>
          <t>Al-Ramtha Governmental Hospital</t>
        </is>
      </c>
      <c r="C206" s="2" t="inlineStr">
        <is>
          <t>Distributor</t>
        </is>
      </c>
      <c r="D206" s="2" t="inlineStr">
        <is>
          <t>LOW</t>
        </is>
      </c>
      <c r="E206" s="2" t="inlineStr">
        <is>
          <t>No facility-specific distributor relationship verified</t>
        </is>
      </c>
      <c r="F206" s="2" t="inlineStr">
        <is>
          <t>Search procurement awards and supplier lists</t>
        </is>
      </c>
      <c r="G206" s="2" t="inlineStr">
        <is>
          <t>Procurement portal / facility procurement</t>
        </is>
      </c>
      <c r="H206" s="2" t="inlineStr">
        <is>
          <t>NEEDS_VERIFICATION</t>
        </is>
      </c>
    </row>
    <row r="207">
      <c r="A207" s="2" t="inlineStr">
        <is>
          <t>Jordan</t>
        </is>
      </c>
      <c r="B207" s="2" t="inlineStr">
        <is>
          <t>Al-Ramtha Governmental Hospital</t>
        </is>
      </c>
      <c r="C207" s="2" t="inlineStr">
        <is>
          <t>Manufacturer/brand</t>
        </is>
      </c>
      <c r="D207" s="2" t="inlineStr">
        <is>
          <t>LOW</t>
        </is>
      </c>
      <c r="E207" s="2" t="inlineStr">
        <is>
          <t>No facility-specific brand relationship verified</t>
        </is>
      </c>
      <c r="F207" s="2" t="inlineStr">
        <is>
          <t>Search tender awards and catalogues</t>
        </is>
      </c>
      <c r="G207" s="2" t="inlineStr">
        <is>
          <t>Procurement portal / manufacturer</t>
        </is>
      </c>
      <c r="H207" s="2" t="inlineStr">
        <is>
          <t>NEEDS_VERIFICATION</t>
        </is>
      </c>
    </row>
    <row r="208">
      <c r="A208" s="2" t="inlineStr">
        <is>
          <t>Jordan</t>
        </is>
      </c>
      <c r="B208" s="2" t="inlineStr">
        <is>
          <t>Al-Hussein / Salt Hospital</t>
        </is>
      </c>
      <c r="C208" s="2" t="inlineStr">
        <is>
          <t>HD stations</t>
        </is>
      </c>
      <c r="D208" s="2" t="inlineStr">
        <is>
          <t>MEDIUM</t>
        </is>
      </c>
      <c r="E208" s="2" t="inlineStr">
        <is>
          <t>Facility-level station count not disclosed in source</t>
        </is>
      </c>
      <c r="F208" s="2" t="inlineStr">
        <is>
          <t>Obtain facility capacity report or licensing record</t>
        </is>
      </c>
      <c r="G208" s="2" t="inlineStr">
        <is>
          <t>Health authority / facility annual report</t>
        </is>
      </c>
      <c r="H208" s="2" t="inlineStr">
        <is>
          <t>NEEDS_VERIFICATION</t>
        </is>
      </c>
    </row>
    <row r="209">
      <c r="A209" s="2" t="inlineStr">
        <is>
          <t>Jordan</t>
        </is>
      </c>
      <c r="B209" s="2" t="inlineStr">
        <is>
          <t>Al-Hussein / Salt Hospital</t>
        </is>
      </c>
      <c r="C209" s="2" t="inlineStr">
        <is>
          <t>Distributor</t>
        </is>
      </c>
      <c r="D209" s="2" t="inlineStr">
        <is>
          <t>LOW</t>
        </is>
      </c>
      <c r="E209" s="2" t="inlineStr">
        <is>
          <t>No facility-specific distributor relationship verified</t>
        </is>
      </c>
      <c r="F209" s="2" t="inlineStr">
        <is>
          <t>Search procurement awards and supplier lists</t>
        </is>
      </c>
      <c r="G209" s="2" t="inlineStr">
        <is>
          <t>Procurement portal / facility procurement</t>
        </is>
      </c>
      <c r="H209" s="2" t="inlineStr">
        <is>
          <t>NEEDS_VERIFICATION</t>
        </is>
      </c>
    </row>
    <row r="210">
      <c r="A210" s="2" t="inlineStr">
        <is>
          <t>Jordan</t>
        </is>
      </c>
      <c r="B210" s="2" t="inlineStr">
        <is>
          <t>Al-Hussein / Salt Hospital</t>
        </is>
      </c>
      <c r="C210" s="2" t="inlineStr">
        <is>
          <t>Manufacturer/brand</t>
        </is>
      </c>
      <c r="D210" s="2" t="inlineStr">
        <is>
          <t>LOW</t>
        </is>
      </c>
      <c r="E210" s="2" t="inlineStr">
        <is>
          <t>No facility-specific brand relationship verified</t>
        </is>
      </c>
      <c r="F210" s="2" t="inlineStr">
        <is>
          <t>Search tender awards and catalogues</t>
        </is>
      </c>
      <c r="G210" s="2" t="inlineStr">
        <is>
          <t>Procurement portal / manufacturer</t>
        </is>
      </c>
      <c r="H210" s="2" t="inlineStr">
        <is>
          <t>NEEDS_VERIFICATION</t>
        </is>
      </c>
    </row>
    <row r="211">
      <c r="A211" s="2" t="inlineStr">
        <is>
          <t>Jordan</t>
        </is>
      </c>
      <c r="B211" s="2" t="inlineStr">
        <is>
          <t>Al-Bashir Hospitals</t>
        </is>
      </c>
      <c r="C211" s="2" t="inlineStr">
        <is>
          <t>HD stations</t>
        </is>
      </c>
      <c r="D211" s="2" t="inlineStr">
        <is>
          <t>MEDIUM</t>
        </is>
      </c>
      <c r="E211" s="2" t="inlineStr">
        <is>
          <t>Facility-level station count not disclosed in source</t>
        </is>
      </c>
      <c r="F211" s="2" t="inlineStr">
        <is>
          <t>Obtain facility capacity report or licensing record</t>
        </is>
      </c>
      <c r="G211" s="2" t="inlineStr">
        <is>
          <t>Health authority / facility annual report</t>
        </is>
      </c>
      <c r="H211" s="2" t="inlineStr">
        <is>
          <t>NEEDS_VERIFICATION</t>
        </is>
      </c>
    </row>
    <row r="212">
      <c r="A212" s="2" t="inlineStr">
        <is>
          <t>Jordan</t>
        </is>
      </c>
      <c r="B212" s="2" t="inlineStr">
        <is>
          <t>Al-Bashir Hospitals</t>
        </is>
      </c>
      <c r="C212" s="2" t="inlineStr">
        <is>
          <t>Distributor</t>
        </is>
      </c>
      <c r="D212" s="2" t="inlineStr">
        <is>
          <t>LOW</t>
        </is>
      </c>
      <c r="E212" s="2" t="inlineStr">
        <is>
          <t>No facility-specific distributor relationship verified</t>
        </is>
      </c>
      <c r="F212" s="2" t="inlineStr">
        <is>
          <t>Search procurement awards and supplier lists</t>
        </is>
      </c>
      <c r="G212" s="2" t="inlineStr">
        <is>
          <t>Procurement portal / facility procurement</t>
        </is>
      </c>
      <c r="H212" s="2" t="inlineStr">
        <is>
          <t>NEEDS_VERIFICATION</t>
        </is>
      </c>
    </row>
    <row r="213">
      <c r="A213" s="2" t="inlineStr">
        <is>
          <t>Jordan</t>
        </is>
      </c>
      <c r="B213" s="2" t="inlineStr">
        <is>
          <t>Al-Bashir Hospitals</t>
        </is>
      </c>
      <c r="C213" s="2" t="inlineStr">
        <is>
          <t>Manufacturer/brand</t>
        </is>
      </c>
      <c r="D213" s="2" t="inlineStr">
        <is>
          <t>LOW</t>
        </is>
      </c>
      <c r="E213" s="2" t="inlineStr">
        <is>
          <t>No facility-specific brand relationship verified</t>
        </is>
      </c>
      <c r="F213" s="2" t="inlineStr">
        <is>
          <t>Search tender awards and catalogues</t>
        </is>
      </c>
      <c r="G213" s="2" t="inlineStr">
        <is>
          <t>Procurement portal / manufacturer</t>
        </is>
      </c>
      <c r="H213" s="2" t="inlineStr">
        <is>
          <t>NEEDS_VERIFICATION</t>
        </is>
      </c>
    </row>
    <row r="214">
      <c r="A214" s="2" t="inlineStr">
        <is>
          <t>Jordan</t>
        </is>
      </c>
      <c r="B214" s="2" t="inlineStr">
        <is>
          <t>Al-Nadeem Hospital</t>
        </is>
      </c>
      <c r="C214" s="2" t="inlineStr">
        <is>
          <t>HD stations</t>
        </is>
      </c>
      <c r="D214" s="2" t="inlineStr">
        <is>
          <t>MEDIUM</t>
        </is>
      </c>
      <c r="E214" s="2" t="inlineStr">
        <is>
          <t>Facility-level station count not disclosed in source</t>
        </is>
      </c>
      <c r="F214" s="2" t="inlineStr">
        <is>
          <t>Obtain facility capacity report or licensing record</t>
        </is>
      </c>
      <c r="G214" s="2" t="inlineStr">
        <is>
          <t>Health authority / facility annual report</t>
        </is>
      </c>
      <c r="H214" s="2" t="inlineStr">
        <is>
          <t>NEEDS_VERIFICATION</t>
        </is>
      </c>
    </row>
    <row r="215">
      <c r="A215" s="2" t="inlineStr">
        <is>
          <t>Jordan</t>
        </is>
      </c>
      <c r="B215" s="2" t="inlineStr">
        <is>
          <t>Al-Nadeem Hospital</t>
        </is>
      </c>
      <c r="C215" s="2" t="inlineStr">
        <is>
          <t>Distributor</t>
        </is>
      </c>
      <c r="D215" s="2" t="inlineStr">
        <is>
          <t>LOW</t>
        </is>
      </c>
      <c r="E215" s="2" t="inlineStr">
        <is>
          <t>No facility-specific distributor relationship verified</t>
        </is>
      </c>
      <c r="F215" s="2" t="inlineStr">
        <is>
          <t>Search procurement awards and supplier lists</t>
        </is>
      </c>
      <c r="G215" s="2" t="inlineStr">
        <is>
          <t>Procurement portal / facility procurement</t>
        </is>
      </c>
      <c r="H215" s="2" t="inlineStr">
        <is>
          <t>NEEDS_VERIFICATION</t>
        </is>
      </c>
    </row>
    <row r="216">
      <c r="A216" s="2" t="inlineStr">
        <is>
          <t>Jordan</t>
        </is>
      </c>
      <c r="B216" s="2" t="inlineStr">
        <is>
          <t>Al-Nadeem Hospital</t>
        </is>
      </c>
      <c r="C216" s="2" t="inlineStr">
        <is>
          <t>Manufacturer/brand</t>
        </is>
      </c>
      <c r="D216" s="2" t="inlineStr">
        <is>
          <t>LOW</t>
        </is>
      </c>
      <c r="E216" s="2" t="inlineStr">
        <is>
          <t>No facility-specific brand relationship verified</t>
        </is>
      </c>
      <c r="F216" s="2" t="inlineStr">
        <is>
          <t>Search tender awards and catalogues</t>
        </is>
      </c>
      <c r="G216" s="2" t="inlineStr">
        <is>
          <t>Procurement portal / manufacturer</t>
        </is>
      </c>
      <c r="H216" s="2" t="inlineStr">
        <is>
          <t>NEEDS_VERIFICATION</t>
        </is>
      </c>
    </row>
    <row r="217">
      <c r="A217" s="2" t="inlineStr">
        <is>
          <t>Jordan</t>
        </is>
      </c>
      <c r="B217" s="2" t="inlineStr">
        <is>
          <t>Al-Zarqa Hospital</t>
        </is>
      </c>
      <c r="C217" s="2" t="inlineStr">
        <is>
          <t>HD stations</t>
        </is>
      </c>
      <c r="D217" s="2" t="inlineStr">
        <is>
          <t>MEDIUM</t>
        </is>
      </c>
      <c r="E217" s="2" t="inlineStr">
        <is>
          <t>Facility-level station count not disclosed in source</t>
        </is>
      </c>
      <c r="F217" s="2" t="inlineStr">
        <is>
          <t>Obtain facility capacity report or licensing record</t>
        </is>
      </c>
      <c r="G217" s="2" t="inlineStr">
        <is>
          <t>Health authority / facility annual report</t>
        </is>
      </c>
      <c r="H217" s="2" t="inlineStr">
        <is>
          <t>NEEDS_VERIFICATION</t>
        </is>
      </c>
    </row>
    <row r="218">
      <c r="A218" s="2" t="inlineStr">
        <is>
          <t>Jordan</t>
        </is>
      </c>
      <c r="B218" s="2" t="inlineStr">
        <is>
          <t>Al-Zarqa Hospital</t>
        </is>
      </c>
      <c r="C218" s="2" t="inlineStr">
        <is>
          <t>Distributor</t>
        </is>
      </c>
      <c r="D218" s="2" t="inlineStr">
        <is>
          <t>LOW</t>
        </is>
      </c>
      <c r="E218" s="2" t="inlineStr">
        <is>
          <t>No facility-specific distributor relationship verified</t>
        </is>
      </c>
      <c r="F218" s="2" t="inlineStr">
        <is>
          <t>Search procurement awards and supplier lists</t>
        </is>
      </c>
      <c r="G218" s="2" t="inlineStr">
        <is>
          <t>Procurement portal / facility procurement</t>
        </is>
      </c>
      <c r="H218" s="2" t="inlineStr">
        <is>
          <t>NEEDS_VERIFICATION</t>
        </is>
      </c>
    </row>
    <row r="219">
      <c r="A219" s="2" t="inlineStr">
        <is>
          <t>Jordan</t>
        </is>
      </c>
      <c r="B219" s="2" t="inlineStr">
        <is>
          <t>Al-Zarqa Hospital</t>
        </is>
      </c>
      <c r="C219" s="2" t="inlineStr">
        <is>
          <t>Manufacturer/brand</t>
        </is>
      </c>
      <c r="D219" s="2" t="inlineStr">
        <is>
          <t>LOW</t>
        </is>
      </c>
      <c r="E219" s="2" t="inlineStr">
        <is>
          <t>No facility-specific brand relationship verified</t>
        </is>
      </c>
      <c r="F219" s="2" t="inlineStr">
        <is>
          <t>Search tender awards and catalogues</t>
        </is>
      </c>
      <c r="G219" s="2" t="inlineStr">
        <is>
          <t>Procurement portal / manufacturer</t>
        </is>
      </c>
      <c r="H219" s="2" t="inlineStr">
        <is>
          <t>NEEDS_VERIFICATION</t>
        </is>
      </c>
    </row>
    <row r="220">
      <c r="A220" s="2" t="inlineStr">
        <is>
          <t>Jordan</t>
        </is>
      </c>
      <c r="B220" s="2" t="inlineStr">
        <is>
          <t>Prince Hamza Hospital</t>
        </is>
      </c>
      <c r="C220" s="2" t="inlineStr">
        <is>
          <t>HD stations</t>
        </is>
      </c>
      <c r="D220" s="2" t="inlineStr">
        <is>
          <t>MEDIUM</t>
        </is>
      </c>
      <c r="E220" s="2" t="inlineStr">
        <is>
          <t>Facility-level station count not disclosed in source</t>
        </is>
      </c>
      <c r="F220" s="2" t="inlineStr">
        <is>
          <t>Obtain facility capacity report or licensing record</t>
        </is>
      </c>
      <c r="G220" s="2" t="inlineStr">
        <is>
          <t>Health authority / facility annual report</t>
        </is>
      </c>
      <c r="H220" s="2" t="inlineStr">
        <is>
          <t>NEEDS_VERIFICATION</t>
        </is>
      </c>
    </row>
    <row r="221">
      <c r="A221" s="2" t="inlineStr">
        <is>
          <t>Jordan</t>
        </is>
      </c>
      <c r="B221" s="2" t="inlineStr">
        <is>
          <t>Prince Hamza Hospital</t>
        </is>
      </c>
      <c r="C221" s="2" t="inlineStr">
        <is>
          <t>Distributor</t>
        </is>
      </c>
      <c r="D221" s="2" t="inlineStr">
        <is>
          <t>LOW</t>
        </is>
      </c>
      <c r="E221" s="2" t="inlineStr">
        <is>
          <t>No facility-specific distributor relationship verified</t>
        </is>
      </c>
      <c r="F221" s="2" t="inlineStr">
        <is>
          <t>Search procurement awards and supplier lists</t>
        </is>
      </c>
      <c r="G221" s="2" t="inlineStr">
        <is>
          <t>Procurement portal / facility procurement</t>
        </is>
      </c>
      <c r="H221" s="2" t="inlineStr">
        <is>
          <t>NEEDS_VERIFICATION</t>
        </is>
      </c>
    </row>
    <row r="222">
      <c r="A222" s="2" t="inlineStr">
        <is>
          <t>Jordan</t>
        </is>
      </c>
      <c r="B222" s="2" t="inlineStr">
        <is>
          <t>Prince Hamza Hospital</t>
        </is>
      </c>
      <c r="C222" s="2" t="inlineStr">
        <is>
          <t>Manufacturer/brand</t>
        </is>
      </c>
      <c r="D222" s="2" t="inlineStr">
        <is>
          <t>LOW</t>
        </is>
      </c>
      <c r="E222" s="2" t="inlineStr">
        <is>
          <t>No facility-specific brand relationship verified</t>
        </is>
      </c>
      <c r="F222" s="2" t="inlineStr">
        <is>
          <t>Search tender awards and catalogues</t>
        </is>
      </c>
      <c r="G222" s="2" t="inlineStr">
        <is>
          <t>Procurement portal / manufacturer</t>
        </is>
      </c>
      <c r="H222" s="2" t="inlineStr">
        <is>
          <t>NEEDS_VERIFICATION</t>
        </is>
      </c>
    </row>
    <row r="223">
      <c r="A223" s="2" t="inlineStr">
        <is>
          <t>Jordan</t>
        </is>
      </c>
      <c r="B223" s="2" t="inlineStr">
        <is>
          <t>King Hussein Medical Center</t>
        </is>
      </c>
      <c r="C223" s="2" t="inlineStr">
        <is>
          <t>HD stations</t>
        </is>
      </c>
      <c r="D223" s="2" t="inlineStr">
        <is>
          <t>MEDIUM</t>
        </is>
      </c>
      <c r="E223" s="2" t="inlineStr">
        <is>
          <t>Facility-level station count not disclosed in source</t>
        </is>
      </c>
      <c r="F223" s="2" t="inlineStr">
        <is>
          <t>Obtain facility capacity report or licensing record</t>
        </is>
      </c>
      <c r="G223" s="2" t="inlineStr">
        <is>
          <t>Health authority / facility annual report</t>
        </is>
      </c>
      <c r="H223" s="2" t="inlineStr">
        <is>
          <t>NEEDS_VERIFICATION</t>
        </is>
      </c>
    </row>
    <row r="224">
      <c r="A224" s="2" t="inlineStr">
        <is>
          <t>Jordan</t>
        </is>
      </c>
      <c r="B224" s="2" t="inlineStr">
        <is>
          <t>King Hussein Medical Center</t>
        </is>
      </c>
      <c r="C224" s="2" t="inlineStr">
        <is>
          <t>Distributor</t>
        </is>
      </c>
      <c r="D224" s="2" t="inlineStr">
        <is>
          <t>LOW</t>
        </is>
      </c>
      <c r="E224" s="2" t="inlineStr">
        <is>
          <t>No facility-specific distributor relationship verified</t>
        </is>
      </c>
      <c r="F224" s="2" t="inlineStr">
        <is>
          <t>Search procurement awards and supplier lists</t>
        </is>
      </c>
      <c r="G224" s="2" t="inlineStr">
        <is>
          <t>Procurement portal / facility procurement</t>
        </is>
      </c>
      <c r="H224" s="2" t="inlineStr">
        <is>
          <t>NEEDS_VERIFICATION</t>
        </is>
      </c>
    </row>
    <row r="225">
      <c r="A225" s="2" t="inlineStr">
        <is>
          <t>Jordan</t>
        </is>
      </c>
      <c r="B225" s="2" t="inlineStr">
        <is>
          <t>King Hussein Medical Center</t>
        </is>
      </c>
      <c r="C225" s="2" t="inlineStr">
        <is>
          <t>Manufacturer/brand</t>
        </is>
      </c>
      <c r="D225" s="2" t="inlineStr">
        <is>
          <t>LOW</t>
        </is>
      </c>
      <c r="E225" s="2" t="inlineStr">
        <is>
          <t>No facility-specific brand relationship verified</t>
        </is>
      </c>
      <c r="F225" s="2" t="inlineStr">
        <is>
          <t>Search tender awards and catalogues</t>
        </is>
      </c>
      <c r="G225" s="2" t="inlineStr">
        <is>
          <t>Procurement portal / manufacturer</t>
        </is>
      </c>
      <c r="H225" s="2" t="inlineStr">
        <is>
          <t>NEEDS_VERIFICATION</t>
        </is>
      </c>
    </row>
    <row r="226">
      <c r="A226" s="2" t="inlineStr">
        <is>
          <t>Lebanon</t>
        </is>
      </c>
      <c r="B226" s="2" t="inlineStr">
        <is>
          <t>Abou Jaoude Hospital</t>
        </is>
      </c>
      <c r="C226" s="2" t="inlineStr">
        <is>
          <t>HD stations</t>
        </is>
      </c>
      <c r="D226" s="2" t="inlineStr">
        <is>
          <t>MEDIUM</t>
        </is>
      </c>
      <c r="E226" s="2" t="inlineStr">
        <is>
          <t>Facility-level station count not disclosed in source</t>
        </is>
      </c>
      <c r="F226" s="2" t="inlineStr">
        <is>
          <t>Obtain facility capacity report or licensing record</t>
        </is>
      </c>
      <c r="G226" s="2" t="inlineStr">
        <is>
          <t>Health authority / facility annual report</t>
        </is>
      </c>
      <c r="H226" s="2" t="inlineStr">
        <is>
          <t>NEEDS_VERIFICATION</t>
        </is>
      </c>
    </row>
    <row r="227">
      <c r="A227" s="2" t="inlineStr">
        <is>
          <t>Lebanon</t>
        </is>
      </c>
      <c r="B227" s="2" t="inlineStr">
        <is>
          <t>Abou Jaoude Hospital</t>
        </is>
      </c>
      <c r="C227" s="2" t="inlineStr">
        <is>
          <t>Ownership</t>
        </is>
      </c>
      <c r="D227" s="2" t="inlineStr">
        <is>
          <t>MEDIUM</t>
        </is>
      </c>
      <c r="E227" s="2" t="inlineStr">
        <is>
          <t>Source verifies HD service but not ownership</t>
        </is>
      </c>
      <c r="F227" s="2" t="inlineStr">
        <is>
          <t>Verify ownership from regulator/facility registry</t>
        </is>
      </c>
      <c r="G227" s="2" t="inlineStr">
        <is>
          <t>Health authority facility registry</t>
        </is>
      </c>
      <c r="H227" s="2" t="inlineStr">
        <is>
          <t>NEEDS_VERIFICATION</t>
        </is>
      </c>
    </row>
    <row r="228">
      <c r="A228" s="2" t="inlineStr">
        <is>
          <t>Lebanon</t>
        </is>
      </c>
      <c r="B228" s="2" t="inlineStr">
        <is>
          <t>Abou Jaoude Hospital</t>
        </is>
      </c>
      <c r="C228" s="2" t="inlineStr">
        <is>
          <t>Distributor</t>
        </is>
      </c>
      <c r="D228" s="2" t="inlineStr">
        <is>
          <t>LOW</t>
        </is>
      </c>
      <c r="E228" s="2" t="inlineStr">
        <is>
          <t>No facility-specific distributor relationship verified</t>
        </is>
      </c>
      <c r="F228" s="2" t="inlineStr">
        <is>
          <t>Search procurement awards and supplier lists</t>
        </is>
      </c>
      <c r="G228" s="2" t="inlineStr">
        <is>
          <t>Procurement portal / facility procurement</t>
        </is>
      </c>
      <c r="H228" s="2" t="inlineStr">
        <is>
          <t>NEEDS_VERIFICATION</t>
        </is>
      </c>
    </row>
    <row r="229">
      <c r="A229" s="2" t="inlineStr">
        <is>
          <t>Lebanon</t>
        </is>
      </c>
      <c r="B229" s="2" t="inlineStr">
        <is>
          <t>Abou Jaoude Hospital</t>
        </is>
      </c>
      <c r="C229" s="2" t="inlineStr">
        <is>
          <t>Manufacturer/brand</t>
        </is>
      </c>
      <c r="D229" s="2" t="inlineStr">
        <is>
          <t>LOW</t>
        </is>
      </c>
      <c r="E229" s="2" t="inlineStr">
        <is>
          <t>No facility-specific brand relationship verified</t>
        </is>
      </c>
      <c r="F229" s="2" t="inlineStr">
        <is>
          <t>Search tender awards and catalogues</t>
        </is>
      </c>
      <c r="G229" s="2" t="inlineStr">
        <is>
          <t>Procurement portal / manufacturer</t>
        </is>
      </c>
      <c r="H229" s="2" t="inlineStr">
        <is>
          <t>NEEDS_VERIFICATION</t>
        </is>
      </c>
    </row>
    <row r="230">
      <c r="A230" s="2" t="inlineStr">
        <is>
          <t>Lebanon</t>
        </is>
      </c>
      <c r="B230" s="2" t="inlineStr">
        <is>
          <t>Labib Hospital</t>
        </is>
      </c>
      <c r="C230" s="2" t="inlineStr">
        <is>
          <t>HD stations</t>
        </is>
      </c>
      <c r="D230" s="2" t="inlineStr">
        <is>
          <t>MEDIUM</t>
        </is>
      </c>
      <c r="E230" s="2" t="inlineStr">
        <is>
          <t>Facility-level station count not disclosed in source</t>
        </is>
      </c>
      <c r="F230" s="2" t="inlineStr">
        <is>
          <t>Obtain facility capacity report or licensing record</t>
        </is>
      </c>
      <c r="G230" s="2" t="inlineStr">
        <is>
          <t>Health authority / facility annual report</t>
        </is>
      </c>
      <c r="H230" s="2" t="inlineStr">
        <is>
          <t>NEEDS_VERIFICATION</t>
        </is>
      </c>
    </row>
    <row r="231">
      <c r="A231" s="2" t="inlineStr">
        <is>
          <t>Lebanon</t>
        </is>
      </c>
      <c r="B231" s="2" t="inlineStr">
        <is>
          <t>Labib Hospital</t>
        </is>
      </c>
      <c r="C231" s="2" t="inlineStr">
        <is>
          <t>Ownership</t>
        </is>
      </c>
      <c r="D231" s="2" t="inlineStr">
        <is>
          <t>MEDIUM</t>
        </is>
      </c>
      <c r="E231" s="2" t="inlineStr">
        <is>
          <t>Source verifies HD service but not ownership</t>
        </is>
      </c>
      <c r="F231" s="2" t="inlineStr">
        <is>
          <t>Verify ownership from regulator/facility registry</t>
        </is>
      </c>
      <c r="G231" s="2" t="inlineStr">
        <is>
          <t>Health authority facility registry</t>
        </is>
      </c>
      <c r="H231" s="2" t="inlineStr">
        <is>
          <t>NEEDS_VERIFICATION</t>
        </is>
      </c>
    </row>
    <row r="232">
      <c r="A232" s="2" t="inlineStr">
        <is>
          <t>Lebanon</t>
        </is>
      </c>
      <c r="B232" s="2" t="inlineStr">
        <is>
          <t>Labib Hospital</t>
        </is>
      </c>
      <c r="C232" s="2" t="inlineStr">
        <is>
          <t>Distributor</t>
        </is>
      </c>
      <c r="D232" s="2" t="inlineStr">
        <is>
          <t>LOW</t>
        </is>
      </c>
      <c r="E232" s="2" t="inlineStr">
        <is>
          <t>No facility-specific distributor relationship verified</t>
        </is>
      </c>
      <c r="F232" s="2" t="inlineStr">
        <is>
          <t>Search procurement awards and supplier lists</t>
        </is>
      </c>
      <c r="G232" s="2" t="inlineStr">
        <is>
          <t>Procurement portal / facility procurement</t>
        </is>
      </c>
      <c r="H232" s="2" t="inlineStr">
        <is>
          <t>NEEDS_VERIFICATION</t>
        </is>
      </c>
    </row>
    <row r="233">
      <c r="A233" s="2" t="inlineStr">
        <is>
          <t>Lebanon</t>
        </is>
      </c>
      <c r="B233" s="2" t="inlineStr">
        <is>
          <t>Labib Hospital</t>
        </is>
      </c>
      <c r="C233" s="2" t="inlineStr">
        <is>
          <t>Manufacturer/brand</t>
        </is>
      </c>
      <c r="D233" s="2" t="inlineStr">
        <is>
          <t>LOW</t>
        </is>
      </c>
      <c r="E233" s="2" t="inlineStr">
        <is>
          <t>No facility-specific brand relationship verified</t>
        </is>
      </c>
      <c r="F233" s="2" t="inlineStr">
        <is>
          <t>Search tender awards and catalogues</t>
        </is>
      </c>
      <c r="G233" s="2" t="inlineStr">
        <is>
          <t>Procurement portal / manufacturer</t>
        </is>
      </c>
      <c r="H233" s="2" t="inlineStr">
        <is>
          <t>NEEDS_VERIFICATION</t>
        </is>
      </c>
    </row>
    <row r="234">
      <c r="A234" s="2" t="inlineStr">
        <is>
          <t>Lebanon</t>
        </is>
      </c>
      <c r="B234" s="2" t="inlineStr">
        <is>
          <t>Khoury Hospital</t>
        </is>
      </c>
      <c r="C234" s="2" t="inlineStr">
        <is>
          <t>HD stations</t>
        </is>
      </c>
      <c r="D234" s="2" t="inlineStr">
        <is>
          <t>MEDIUM</t>
        </is>
      </c>
      <c r="E234" s="2" t="inlineStr">
        <is>
          <t>Facility-level station count not disclosed in source</t>
        </is>
      </c>
      <c r="F234" s="2" t="inlineStr">
        <is>
          <t>Obtain facility capacity report or licensing record</t>
        </is>
      </c>
      <c r="G234" s="2" t="inlineStr">
        <is>
          <t>Health authority / facility annual report</t>
        </is>
      </c>
      <c r="H234" s="2" t="inlineStr">
        <is>
          <t>NEEDS_VERIFICATION</t>
        </is>
      </c>
    </row>
    <row r="235">
      <c r="A235" s="2" t="inlineStr">
        <is>
          <t>Lebanon</t>
        </is>
      </c>
      <c r="B235" s="2" t="inlineStr">
        <is>
          <t>Khoury Hospital</t>
        </is>
      </c>
      <c r="C235" s="2" t="inlineStr">
        <is>
          <t>Ownership</t>
        </is>
      </c>
      <c r="D235" s="2" t="inlineStr">
        <is>
          <t>MEDIUM</t>
        </is>
      </c>
      <c r="E235" s="2" t="inlineStr">
        <is>
          <t>Source verifies HD service but not ownership</t>
        </is>
      </c>
      <c r="F235" s="2" t="inlineStr">
        <is>
          <t>Verify ownership from regulator/facility registry</t>
        </is>
      </c>
      <c r="G235" s="2" t="inlineStr">
        <is>
          <t>Health authority facility registry</t>
        </is>
      </c>
      <c r="H235" s="2" t="inlineStr">
        <is>
          <t>NEEDS_VERIFICATION</t>
        </is>
      </c>
    </row>
    <row r="236">
      <c r="A236" s="2" t="inlineStr">
        <is>
          <t>Lebanon</t>
        </is>
      </c>
      <c r="B236" s="2" t="inlineStr">
        <is>
          <t>Khoury Hospital</t>
        </is>
      </c>
      <c r="C236" s="2" t="inlineStr">
        <is>
          <t>Distributor</t>
        </is>
      </c>
      <c r="D236" s="2" t="inlineStr">
        <is>
          <t>LOW</t>
        </is>
      </c>
      <c r="E236" s="2" t="inlineStr">
        <is>
          <t>No facility-specific distributor relationship verified</t>
        </is>
      </c>
      <c r="F236" s="2" t="inlineStr">
        <is>
          <t>Search procurement awards and supplier lists</t>
        </is>
      </c>
      <c r="G236" s="2" t="inlineStr">
        <is>
          <t>Procurement portal / facility procurement</t>
        </is>
      </c>
      <c r="H236" s="2" t="inlineStr">
        <is>
          <t>NEEDS_VERIFICATION</t>
        </is>
      </c>
    </row>
    <row r="237">
      <c r="A237" s="2" t="inlineStr">
        <is>
          <t>Lebanon</t>
        </is>
      </c>
      <c r="B237" s="2" t="inlineStr">
        <is>
          <t>Khoury Hospital</t>
        </is>
      </c>
      <c r="C237" s="2" t="inlineStr">
        <is>
          <t>Manufacturer/brand</t>
        </is>
      </c>
      <c r="D237" s="2" t="inlineStr">
        <is>
          <t>LOW</t>
        </is>
      </c>
      <c r="E237" s="2" t="inlineStr">
        <is>
          <t>No facility-specific brand relationship verified</t>
        </is>
      </c>
      <c r="F237" s="2" t="inlineStr">
        <is>
          <t>Search tender awards and catalogues</t>
        </is>
      </c>
      <c r="G237" s="2" t="inlineStr">
        <is>
          <t>Procurement portal / manufacturer</t>
        </is>
      </c>
      <c r="H237" s="2" t="inlineStr">
        <is>
          <t>NEEDS_VERIFICATION</t>
        </is>
      </c>
    </row>
    <row r="238">
      <c r="A238" s="2" t="inlineStr">
        <is>
          <t>Lebanon</t>
        </is>
      </c>
      <c r="B238" s="2" t="inlineStr">
        <is>
          <t>Hammoud Hospital University Medical Center</t>
        </is>
      </c>
      <c r="C238" s="2" t="inlineStr">
        <is>
          <t>HD stations</t>
        </is>
      </c>
      <c r="D238" s="2" t="inlineStr">
        <is>
          <t>MEDIUM</t>
        </is>
      </c>
      <c r="E238" s="2" t="inlineStr">
        <is>
          <t>Facility-level station count not disclosed in source</t>
        </is>
      </c>
      <c r="F238" s="2" t="inlineStr">
        <is>
          <t>Obtain facility capacity report or licensing record</t>
        </is>
      </c>
      <c r="G238" s="2" t="inlineStr">
        <is>
          <t>Health authority / facility annual report</t>
        </is>
      </c>
      <c r="H238" s="2" t="inlineStr">
        <is>
          <t>NEEDS_VERIFICATION</t>
        </is>
      </c>
    </row>
    <row r="239">
      <c r="A239" s="2" t="inlineStr">
        <is>
          <t>Lebanon</t>
        </is>
      </c>
      <c r="B239" s="2" t="inlineStr">
        <is>
          <t>Hammoud Hospital University Medical Center</t>
        </is>
      </c>
      <c r="C239" s="2" t="inlineStr">
        <is>
          <t>Ownership</t>
        </is>
      </c>
      <c r="D239" s="2" t="inlineStr">
        <is>
          <t>MEDIUM</t>
        </is>
      </c>
      <c r="E239" s="2" t="inlineStr">
        <is>
          <t>Source verifies HD service but not ownership</t>
        </is>
      </c>
      <c r="F239" s="2" t="inlineStr">
        <is>
          <t>Verify ownership from regulator/facility registry</t>
        </is>
      </c>
      <c r="G239" s="2" t="inlineStr">
        <is>
          <t>Health authority facility registry</t>
        </is>
      </c>
      <c r="H239" s="2" t="inlineStr">
        <is>
          <t>NEEDS_VERIFICATION</t>
        </is>
      </c>
    </row>
    <row r="240">
      <c r="A240" s="2" t="inlineStr">
        <is>
          <t>Lebanon</t>
        </is>
      </c>
      <c r="B240" s="2" t="inlineStr">
        <is>
          <t>Hammoud Hospital University Medical Center</t>
        </is>
      </c>
      <c r="C240" s="2" t="inlineStr">
        <is>
          <t>Distributor</t>
        </is>
      </c>
      <c r="D240" s="2" t="inlineStr">
        <is>
          <t>LOW</t>
        </is>
      </c>
      <c r="E240" s="2" t="inlineStr">
        <is>
          <t>No facility-specific distributor relationship verified</t>
        </is>
      </c>
      <c r="F240" s="2" t="inlineStr">
        <is>
          <t>Search procurement awards and supplier lists</t>
        </is>
      </c>
      <c r="G240" s="2" t="inlineStr">
        <is>
          <t>Procurement portal / facility procurement</t>
        </is>
      </c>
      <c r="H240" s="2" t="inlineStr">
        <is>
          <t>NEEDS_VERIFICATION</t>
        </is>
      </c>
    </row>
    <row r="241">
      <c r="A241" s="2" t="inlineStr">
        <is>
          <t>Lebanon</t>
        </is>
      </c>
      <c r="B241" s="2" t="inlineStr">
        <is>
          <t>Hammoud Hospital University Medical Center</t>
        </is>
      </c>
      <c r="C241" s="2" t="inlineStr">
        <is>
          <t>Manufacturer/brand</t>
        </is>
      </c>
      <c r="D241" s="2" t="inlineStr">
        <is>
          <t>LOW</t>
        </is>
      </c>
      <c r="E241" s="2" t="inlineStr">
        <is>
          <t>No facility-specific brand relationship verified</t>
        </is>
      </c>
      <c r="F241" s="2" t="inlineStr">
        <is>
          <t>Search tender awards and catalogues</t>
        </is>
      </c>
      <c r="G241" s="2" t="inlineStr">
        <is>
          <t>Procurement portal / manufacturer</t>
        </is>
      </c>
      <c r="H241" s="2" t="inlineStr">
        <is>
          <t>NEEDS_VERIFICATION</t>
        </is>
      </c>
    </row>
    <row r="242">
      <c r="A242" s="2" t="inlineStr">
        <is>
          <t>Lebanon</t>
        </is>
      </c>
      <c r="B242" s="2" t="inlineStr">
        <is>
          <t>FMC Hospital</t>
        </is>
      </c>
      <c r="C242" s="2" t="inlineStr">
        <is>
          <t>HD stations</t>
        </is>
      </c>
      <c r="D242" s="2" t="inlineStr">
        <is>
          <t>MEDIUM</t>
        </is>
      </c>
      <c r="E242" s="2" t="inlineStr">
        <is>
          <t>Facility-level station count not disclosed in source</t>
        </is>
      </c>
      <c r="F242" s="2" t="inlineStr">
        <is>
          <t>Obtain facility capacity report or licensing record</t>
        </is>
      </c>
      <c r="G242" s="2" t="inlineStr">
        <is>
          <t>Health authority / facility annual report</t>
        </is>
      </c>
      <c r="H242" s="2" t="inlineStr">
        <is>
          <t>NEEDS_VERIFICATION</t>
        </is>
      </c>
    </row>
    <row r="243">
      <c r="A243" s="2" t="inlineStr">
        <is>
          <t>Lebanon</t>
        </is>
      </c>
      <c r="B243" s="2" t="inlineStr">
        <is>
          <t>FMC Hospital</t>
        </is>
      </c>
      <c r="C243" s="2" t="inlineStr">
        <is>
          <t>Ownership</t>
        </is>
      </c>
      <c r="D243" s="2" t="inlineStr">
        <is>
          <t>MEDIUM</t>
        </is>
      </c>
      <c r="E243" s="2" t="inlineStr">
        <is>
          <t>Source verifies HD service but not ownership</t>
        </is>
      </c>
      <c r="F243" s="2" t="inlineStr">
        <is>
          <t>Verify ownership from regulator/facility registry</t>
        </is>
      </c>
      <c r="G243" s="2" t="inlineStr">
        <is>
          <t>Health authority facility registry</t>
        </is>
      </c>
      <c r="H243" s="2" t="inlineStr">
        <is>
          <t>NEEDS_VERIFICATION</t>
        </is>
      </c>
    </row>
    <row r="244">
      <c r="A244" s="2" t="inlineStr">
        <is>
          <t>Lebanon</t>
        </is>
      </c>
      <c r="B244" s="2" t="inlineStr">
        <is>
          <t>FMC Hospital</t>
        </is>
      </c>
      <c r="C244" s="2" t="inlineStr">
        <is>
          <t>Distributor</t>
        </is>
      </c>
      <c r="D244" s="2" t="inlineStr">
        <is>
          <t>LOW</t>
        </is>
      </c>
      <c r="E244" s="2" t="inlineStr">
        <is>
          <t>No facility-specific distributor relationship verified</t>
        </is>
      </c>
      <c r="F244" s="2" t="inlineStr">
        <is>
          <t>Search procurement awards and supplier lists</t>
        </is>
      </c>
      <c r="G244" s="2" t="inlineStr">
        <is>
          <t>Procurement portal / facility procurement</t>
        </is>
      </c>
      <c r="H244" s="2" t="inlineStr">
        <is>
          <t>NEEDS_VERIFICATION</t>
        </is>
      </c>
    </row>
    <row r="245">
      <c r="A245" s="2" t="inlineStr">
        <is>
          <t>Lebanon</t>
        </is>
      </c>
      <c r="B245" s="2" t="inlineStr">
        <is>
          <t>FMC Hospital</t>
        </is>
      </c>
      <c r="C245" s="2" t="inlineStr">
        <is>
          <t>Manufacturer/brand</t>
        </is>
      </c>
      <c r="D245" s="2" t="inlineStr">
        <is>
          <t>LOW</t>
        </is>
      </c>
      <c r="E245" s="2" t="inlineStr">
        <is>
          <t>No facility-specific brand relationship verified</t>
        </is>
      </c>
      <c r="F245" s="2" t="inlineStr">
        <is>
          <t>Search tender awards and catalogues</t>
        </is>
      </c>
      <c r="G245" s="2" t="inlineStr">
        <is>
          <t>Procurement portal / manufacturer</t>
        </is>
      </c>
      <c r="H245" s="2" t="inlineStr">
        <is>
          <t>NEEDS_VERIFICATION</t>
        </is>
      </c>
    </row>
    <row r="246">
      <c r="A246" s="2" t="inlineStr">
        <is>
          <t>Lebanon</t>
        </is>
      </c>
      <c r="B246" s="2" t="inlineStr">
        <is>
          <t>Sahel Hospital</t>
        </is>
      </c>
      <c r="C246" s="2" t="inlineStr">
        <is>
          <t>HD stations</t>
        </is>
      </c>
      <c r="D246" s="2" t="inlineStr">
        <is>
          <t>MEDIUM</t>
        </is>
      </c>
      <c r="E246" s="2" t="inlineStr">
        <is>
          <t>Facility-level station count not disclosed in source</t>
        </is>
      </c>
      <c r="F246" s="2" t="inlineStr">
        <is>
          <t>Obtain facility capacity report or licensing record</t>
        </is>
      </c>
      <c r="G246" s="2" t="inlineStr">
        <is>
          <t>Health authority / facility annual report</t>
        </is>
      </c>
      <c r="H246" s="2" t="inlineStr">
        <is>
          <t>NEEDS_VERIFICATION</t>
        </is>
      </c>
    </row>
    <row r="247">
      <c r="A247" s="2" t="inlineStr">
        <is>
          <t>Lebanon</t>
        </is>
      </c>
      <c r="B247" s="2" t="inlineStr">
        <is>
          <t>Sahel Hospital</t>
        </is>
      </c>
      <c r="C247" s="2" t="inlineStr">
        <is>
          <t>Ownership</t>
        </is>
      </c>
      <c r="D247" s="2" t="inlineStr">
        <is>
          <t>MEDIUM</t>
        </is>
      </c>
      <c r="E247" s="2" t="inlineStr">
        <is>
          <t>Source verifies HD service but not ownership</t>
        </is>
      </c>
      <c r="F247" s="2" t="inlineStr">
        <is>
          <t>Verify ownership from regulator/facility registry</t>
        </is>
      </c>
      <c r="G247" s="2" t="inlineStr">
        <is>
          <t>Health authority facility registry</t>
        </is>
      </c>
      <c r="H247" s="2" t="inlineStr">
        <is>
          <t>NEEDS_VERIFICATION</t>
        </is>
      </c>
    </row>
    <row r="248">
      <c r="A248" s="2" t="inlineStr">
        <is>
          <t>Lebanon</t>
        </is>
      </c>
      <c r="B248" s="2" t="inlineStr">
        <is>
          <t>Sahel Hospital</t>
        </is>
      </c>
      <c r="C248" s="2" t="inlineStr">
        <is>
          <t>Distributor</t>
        </is>
      </c>
      <c r="D248" s="2" t="inlineStr">
        <is>
          <t>LOW</t>
        </is>
      </c>
      <c r="E248" s="2" t="inlineStr">
        <is>
          <t>No facility-specific distributor relationship verified</t>
        </is>
      </c>
      <c r="F248" s="2" t="inlineStr">
        <is>
          <t>Search procurement awards and supplier lists</t>
        </is>
      </c>
      <c r="G248" s="2" t="inlineStr">
        <is>
          <t>Procurement portal / facility procurement</t>
        </is>
      </c>
      <c r="H248" s="2" t="inlineStr">
        <is>
          <t>NEEDS_VERIFICATION</t>
        </is>
      </c>
    </row>
    <row r="249">
      <c r="A249" s="2" t="inlineStr">
        <is>
          <t>Lebanon</t>
        </is>
      </c>
      <c r="B249" s="2" t="inlineStr">
        <is>
          <t>Sahel Hospital</t>
        </is>
      </c>
      <c r="C249" s="2" t="inlineStr">
        <is>
          <t>Manufacturer/brand</t>
        </is>
      </c>
      <c r="D249" s="2" t="inlineStr">
        <is>
          <t>LOW</t>
        </is>
      </c>
      <c r="E249" s="2" t="inlineStr">
        <is>
          <t>No facility-specific brand relationship verified</t>
        </is>
      </c>
      <c r="F249" s="2" t="inlineStr">
        <is>
          <t>Search tender awards and catalogues</t>
        </is>
      </c>
      <c r="G249" s="2" t="inlineStr">
        <is>
          <t>Procurement portal / manufacturer</t>
        </is>
      </c>
      <c r="H249" s="2" t="inlineStr">
        <is>
          <t>NEEDS_VERIFICATION</t>
        </is>
      </c>
    </row>
    <row r="250">
      <c r="A250" s="2" t="inlineStr">
        <is>
          <t>Lebanon</t>
        </is>
      </c>
      <c r="B250" s="2" t="inlineStr">
        <is>
          <t>Beit Chabeb Hospital</t>
        </is>
      </c>
      <c r="C250" s="2" t="inlineStr">
        <is>
          <t>HD stations</t>
        </is>
      </c>
      <c r="D250" s="2" t="inlineStr">
        <is>
          <t>MEDIUM</t>
        </is>
      </c>
      <c r="E250" s="2" t="inlineStr">
        <is>
          <t>Facility-level station count not disclosed in source</t>
        </is>
      </c>
      <c r="F250" s="2" t="inlineStr">
        <is>
          <t>Obtain facility capacity report or licensing record</t>
        </is>
      </c>
      <c r="G250" s="2" t="inlineStr">
        <is>
          <t>Health authority / facility annual report</t>
        </is>
      </c>
      <c r="H250" s="2" t="inlineStr">
        <is>
          <t>NEEDS_VERIFICATION</t>
        </is>
      </c>
    </row>
    <row r="251">
      <c r="A251" s="2" t="inlineStr">
        <is>
          <t>Lebanon</t>
        </is>
      </c>
      <c r="B251" s="2" t="inlineStr">
        <is>
          <t>Beit Chabeb Hospital</t>
        </is>
      </c>
      <c r="C251" s="2" t="inlineStr">
        <is>
          <t>Ownership</t>
        </is>
      </c>
      <c r="D251" s="2" t="inlineStr">
        <is>
          <t>MEDIUM</t>
        </is>
      </c>
      <c r="E251" s="2" t="inlineStr">
        <is>
          <t>Source verifies HD service but not ownership</t>
        </is>
      </c>
      <c r="F251" s="2" t="inlineStr">
        <is>
          <t>Verify ownership from regulator/facility registry</t>
        </is>
      </c>
      <c r="G251" s="2" t="inlineStr">
        <is>
          <t>Health authority facility registry</t>
        </is>
      </c>
      <c r="H251" s="2" t="inlineStr">
        <is>
          <t>NEEDS_VERIFICATION</t>
        </is>
      </c>
    </row>
    <row r="252">
      <c r="A252" s="2" t="inlineStr">
        <is>
          <t>Lebanon</t>
        </is>
      </c>
      <c r="B252" s="2" t="inlineStr">
        <is>
          <t>Beit Chabeb Hospital</t>
        </is>
      </c>
      <c r="C252" s="2" t="inlineStr">
        <is>
          <t>Distributor</t>
        </is>
      </c>
      <c r="D252" s="2" t="inlineStr">
        <is>
          <t>LOW</t>
        </is>
      </c>
      <c r="E252" s="2" t="inlineStr">
        <is>
          <t>No facility-specific distributor relationship verified</t>
        </is>
      </c>
      <c r="F252" s="2" t="inlineStr">
        <is>
          <t>Search procurement awards and supplier lists</t>
        </is>
      </c>
      <c r="G252" s="2" t="inlineStr">
        <is>
          <t>Procurement portal / facility procurement</t>
        </is>
      </c>
      <c r="H252" s="2" t="inlineStr">
        <is>
          <t>NEEDS_VERIFICATION</t>
        </is>
      </c>
    </row>
    <row r="253">
      <c r="A253" s="2" t="inlineStr">
        <is>
          <t>Lebanon</t>
        </is>
      </c>
      <c r="B253" s="2" t="inlineStr">
        <is>
          <t>Beit Chabeb Hospital</t>
        </is>
      </c>
      <c r="C253" s="2" t="inlineStr">
        <is>
          <t>Manufacturer/brand</t>
        </is>
      </c>
      <c r="D253" s="2" t="inlineStr">
        <is>
          <t>LOW</t>
        </is>
      </c>
      <c r="E253" s="2" t="inlineStr">
        <is>
          <t>No facility-specific brand relationship verified</t>
        </is>
      </c>
      <c r="F253" s="2" t="inlineStr">
        <is>
          <t>Search tender awards and catalogues</t>
        </is>
      </c>
      <c r="G253" s="2" t="inlineStr">
        <is>
          <t>Procurement portal / manufacturer</t>
        </is>
      </c>
      <c r="H253" s="2" t="inlineStr">
        <is>
          <t>NEEDS_VERIFICATION</t>
        </is>
      </c>
    </row>
    <row r="254">
      <c r="A254" s="2" t="inlineStr">
        <is>
          <t>Lebanon</t>
        </is>
      </c>
      <c r="B254" s="2" t="inlineStr">
        <is>
          <t>Saint-Georges Orthodoxe Hospital</t>
        </is>
      </c>
      <c r="C254" s="2" t="inlineStr">
        <is>
          <t>HD stations</t>
        </is>
      </c>
      <c r="D254" s="2" t="inlineStr">
        <is>
          <t>MEDIUM</t>
        </is>
      </c>
      <c r="E254" s="2" t="inlineStr">
        <is>
          <t>Facility-level station count not disclosed in source</t>
        </is>
      </c>
      <c r="F254" s="2" t="inlineStr">
        <is>
          <t>Obtain facility capacity report or licensing record</t>
        </is>
      </c>
      <c r="G254" s="2" t="inlineStr">
        <is>
          <t>Health authority / facility annual report</t>
        </is>
      </c>
      <c r="H254" s="2" t="inlineStr">
        <is>
          <t>NEEDS_VERIFICATION</t>
        </is>
      </c>
    </row>
    <row r="255">
      <c r="A255" s="2" t="inlineStr">
        <is>
          <t>Lebanon</t>
        </is>
      </c>
      <c r="B255" s="2" t="inlineStr">
        <is>
          <t>Saint-Georges Orthodoxe Hospital</t>
        </is>
      </c>
      <c r="C255" s="2" t="inlineStr">
        <is>
          <t>Ownership</t>
        </is>
      </c>
      <c r="D255" s="2" t="inlineStr">
        <is>
          <t>MEDIUM</t>
        </is>
      </c>
      <c r="E255" s="2" t="inlineStr">
        <is>
          <t>Source verifies HD service but not ownership</t>
        </is>
      </c>
      <c r="F255" s="2" t="inlineStr">
        <is>
          <t>Verify ownership from regulator/facility registry</t>
        </is>
      </c>
      <c r="G255" s="2" t="inlineStr">
        <is>
          <t>Health authority facility registry</t>
        </is>
      </c>
      <c r="H255" s="2" t="inlineStr">
        <is>
          <t>NEEDS_VERIFICATION</t>
        </is>
      </c>
    </row>
    <row r="256">
      <c r="A256" s="2" t="inlineStr">
        <is>
          <t>Lebanon</t>
        </is>
      </c>
      <c r="B256" s="2" t="inlineStr">
        <is>
          <t>Saint-Georges Orthodoxe Hospital</t>
        </is>
      </c>
      <c r="C256" s="2" t="inlineStr">
        <is>
          <t>Distributor</t>
        </is>
      </c>
      <c r="D256" s="2" t="inlineStr">
        <is>
          <t>LOW</t>
        </is>
      </c>
      <c r="E256" s="2" t="inlineStr">
        <is>
          <t>No facility-specific distributor relationship verified</t>
        </is>
      </c>
      <c r="F256" s="2" t="inlineStr">
        <is>
          <t>Search procurement awards and supplier lists</t>
        </is>
      </c>
      <c r="G256" s="2" t="inlineStr">
        <is>
          <t>Procurement portal / facility procurement</t>
        </is>
      </c>
      <c r="H256" s="2" t="inlineStr">
        <is>
          <t>NEEDS_VERIFICATION</t>
        </is>
      </c>
    </row>
    <row r="257">
      <c r="A257" s="2" t="inlineStr">
        <is>
          <t>Lebanon</t>
        </is>
      </c>
      <c r="B257" s="2" t="inlineStr">
        <is>
          <t>Saint-Georges Orthodoxe Hospital</t>
        </is>
      </c>
      <c r="C257" s="2" t="inlineStr">
        <is>
          <t>Manufacturer/brand</t>
        </is>
      </c>
      <c r="D257" s="2" t="inlineStr">
        <is>
          <t>LOW</t>
        </is>
      </c>
      <c r="E257" s="2" t="inlineStr">
        <is>
          <t>No facility-specific brand relationship verified</t>
        </is>
      </c>
      <c r="F257" s="2" t="inlineStr">
        <is>
          <t>Search tender awards and catalogues</t>
        </is>
      </c>
      <c r="G257" s="2" t="inlineStr">
        <is>
          <t>Procurement portal / manufacturer</t>
        </is>
      </c>
      <c r="H257" s="2" t="inlineStr">
        <is>
          <t>NEEDS_VERIFICATION</t>
        </is>
      </c>
    </row>
    <row r="258">
      <c r="A258" s="2" t="inlineStr">
        <is>
          <t>Lebanon</t>
        </is>
      </c>
      <c r="B258" s="2" t="inlineStr">
        <is>
          <t>Rahal Hospital</t>
        </is>
      </c>
      <c r="C258" s="2" t="inlineStr">
        <is>
          <t>HD stations</t>
        </is>
      </c>
      <c r="D258" s="2" t="inlineStr">
        <is>
          <t>MEDIUM</t>
        </is>
      </c>
      <c r="E258" s="2" t="inlineStr">
        <is>
          <t>Facility-level station count not disclosed in source</t>
        </is>
      </c>
      <c r="F258" s="2" t="inlineStr">
        <is>
          <t>Obtain facility capacity report or licensing record</t>
        </is>
      </c>
      <c r="G258" s="2" t="inlineStr">
        <is>
          <t>Health authority / facility annual report</t>
        </is>
      </c>
      <c r="H258" s="2" t="inlineStr">
        <is>
          <t>NEEDS_VERIFICATION</t>
        </is>
      </c>
    </row>
    <row r="259">
      <c r="A259" s="2" t="inlineStr">
        <is>
          <t>Lebanon</t>
        </is>
      </c>
      <c r="B259" s="2" t="inlineStr">
        <is>
          <t>Rahal Hospital</t>
        </is>
      </c>
      <c r="C259" s="2" t="inlineStr">
        <is>
          <t>Ownership</t>
        </is>
      </c>
      <c r="D259" s="2" t="inlineStr">
        <is>
          <t>MEDIUM</t>
        </is>
      </c>
      <c r="E259" s="2" t="inlineStr">
        <is>
          <t>Source verifies HD service but not ownership</t>
        </is>
      </c>
      <c r="F259" s="2" t="inlineStr">
        <is>
          <t>Verify ownership from regulator/facility registry</t>
        </is>
      </c>
      <c r="G259" s="2" t="inlineStr">
        <is>
          <t>Health authority facility registry</t>
        </is>
      </c>
      <c r="H259" s="2" t="inlineStr">
        <is>
          <t>NEEDS_VERIFICATION</t>
        </is>
      </c>
    </row>
    <row r="260">
      <c r="A260" s="2" t="inlineStr">
        <is>
          <t>Lebanon</t>
        </is>
      </c>
      <c r="B260" s="2" t="inlineStr">
        <is>
          <t>Rahal Hospital</t>
        </is>
      </c>
      <c r="C260" s="2" t="inlineStr">
        <is>
          <t>Distributor</t>
        </is>
      </c>
      <c r="D260" s="2" t="inlineStr">
        <is>
          <t>LOW</t>
        </is>
      </c>
      <c r="E260" s="2" t="inlineStr">
        <is>
          <t>No facility-specific distributor relationship verified</t>
        </is>
      </c>
      <c r="F260" s="2" t="inlineStr">
        <is>
          <t>Search procurement awards and supplier lists</t>
        </is>
      </c>
      <c r="G260" s="2" t="inlineStr">
        <is>
          <t>Procurement portal / facility procurement</t>
        </is>
      </c>
      <c r="H260" s="2" t="inlineStr">
        <is>
          <t>NEEDS_VERIFICATION</t>
        </is>
      </c>
    </row>
    <row r="261">
      <c r="A261" s="2" t="inlineStr">
        <is>
          <t>Lebanon</t>
        </is>
      </c>
      <c r="B261" s="2" t="inlineStr">
        <is>
          <t>Rahal Hospital</t>
        </is>
      </c>
      <c r="C261" s="2" t="inlineStr">
        <is>
          <t>Manufacturer/brand</t>
        </is>
      </c>
      <c r="D261" s="2" t="inlineStr">
        <is>
          <t>LOW</t>
        </is>
      </c>
      <c r="E261" s="2" t="inlineStr">
        <is>
          <t>No facility-specific brand relationship verified</t>
        </is>
      </c>
      <c r="F261" s="2" t="inlineStr">
        <is>
          <t>Search tender awards and catalogues</t>
        </is>
      </c>
      <c r="G261" s="2" t="inlineStr">
        <is>
          <t>Procurement portal / manufacturer</t>
        </is>
      </c>
      <c r="H261" s="2" t="inlineStr">
        <is>
          <t>NEEDS_VERIFICATION</t>
        </is>
      </c>
    </row>
    <row r="262">
      <c r="A262" s="2" t="inlineStr">
        <is>
          <t>Lebanon</t>
        </is>
      </c>
      <c r="B262" s="2" t="inlineStr">
        <is>
          <t>Jabal Amel Hospital</t>
        </is>
      </c>
      <c r="C262" s="2" t="inlineStr">
        <is>
          <t>HD stations</t>
        </is>
      </c>
      <c r="D262" s="2" t="inlineStr">
        <is>
          <t>MEDIUM</t>
        </is>
      </c>
      <c r="E262" s="2" t="inlineStr">
        <is>
          <t>Facility-level station count not disclosed in source</t>
        </is>
      </c>
      <c r="F262" s="2" t="inlineStr">
        <is>
          <t>Obtain facility capacity report or licensing record</t>
        </is>
      </c>
      <c r="G262" s="2" t="inlineStr">
        <is>
          <t>Health authority / facility annual report</t>
        </is>
      </c>
      <c r="H262" s="2" t="inlineStr">
        <is>
          <t>NEEDS_VERIFICATION</t>
        </is>
      </c>
    </row>
    <row r="263">
      <c r="A263" s="2" t="inlineStr">
        <is>
          <t>Lebanon</t>
        </is>
      </c>
      <c r="B263" s="2" t="inlineStr">
        <is>
          <t>Jabal Amel Hospital</t>
        </is>
      </c>
      <c r="C263" s="2" t="inlineStr">
        <is>
          <t>Ownership</t>
        </is>
      </c>
      <c r="D263" s="2" t="inlineStr">
        <is>
          <t>MEDIUM</t>
        </is>
      </c>
      <c r="E263" s="2" t="inlineStr">
        <is>
          <t>Source verifies HD service but not ownership</t>
        </is>
      </c>
      <c r="F263" s="2" t="inlineStr">
        <is>
          <t>Verify ownership from regulator/facility registry</t>
        </is>
      </c>
      <c r="G263" s="2" t="inlineStr">
        <is>
          <t>Health authority facility registry</t>
        </is>
      </c>
      <c r="H263" s="2" t="inlineStr">
        <is>
          <t>NEEDS_VERIFICATION</t>
        </is>
      </c>
    </row>
    <row r="264">
      <c r="A264" s="2" t="inlineStr">
        <is>
          <t>Lebanon</t>
        </is>
      </c>
      <c r="B264" s="2" t="inlineStr">
        <is>
          <t>Jabal Amel Hospital</t>
        </is>
      </c>
      <c r="C264" s="2" t="inlineStr">
        <is>
          <t>Distributor</t>
        </is>
      </c>
      <c r="D264" s="2" t="inlineStr">
        <is>
          <t>LOW</t>
        </is>
      </c>
      <c r="E264" s="2" t="inlineStr">
        <is>
          <t>No facility-specific distributor relationship verified</t>
        </is>
      </c>
      <c r="F264" s="2" t="inlineStr">
        <is>
          <t>Search procurement awards and supplier lists</t>
        </is>
      </c>
      <c r="G264" s="2" t="inlineStr">
        <is>
          <t>Procurement portal / facility procurement</t>
        </is>
      </c>
      <c r="H264" s="2" t="inlineStr">
        <is>
          <t>NEEDS_VERIFICATION</t>
        </is>
      </c>
    </row>
    <row r="265">
      <c r="A265" s="2" t="inlineStr">
        <is>
          <t>Lebanon</t>
        </is>
      </c>
      <c r="B265" s="2" t="inlineStr">
        <is>
          <t>Jabal Amel Hospital</t>
        </is>
      </c>
      <c r="C265" s="2" t="inlineStr">
        <is>
          <t>Manufacturer/brand</t>
        </is>
      </c>
      <c r="D265" s="2" t="inlineStr">
        <is>
          <t>LOW</t>
        </is>
      </c>
      <c r="E265" s="2" t="inlineStr">
        <is>
          <t>No facility-specific brand relationship verified</t>
        </is>
      </c>
      <c r="F265" s="2" t="inlineStr">
        <is>
          <t>Search tender awards and catalogues</t>
        </is>
      </c>
      <c r="G265" s="2" t="inlineStr">
        <is>
          <t>Procurement portal / manufacturer</t>
        </is>
      </c>
      <c r="H265" s="2" t="inlineStr">
        <is>
          <t>NEEDS_VERIFICATION</t>
        </is>
      </c>
    </row>
    <row r="266">
      <c r="A266" s="2" t="inlineStr">
        <is>
          <t>Lebanon</t>
        </is>
      </c>
      <c r="B266" s="2" t="inlineStr">
        <is>
          <t>Dinnieh Hospital</t>
        </is>
      </c>
      <c r="C266" s="2" t="inlineStr">
        <is>
          <t>HD stations</t>
        </is>
      </c>
      <c r="D266" s="2" t="inlineStr">
        <is>
          <t>MEDIUM</t>
        </is>
      </c>
      <c r="E266" s="2" t="inlineStr">
        <is>
          <t>Facility-level station count not disclosed in source</t>
        </is>
      </c>
      <c r="F266" s="2" t="inlineStr">
        <is>
          <t>Obtain facility capacity report or licensing record</t>
        </is>
      </c>
      <c r="G266" s="2" t="inlineStr">
        <is>
          <t>Health authority / facility annual report</t>
        </is>
      </c>
      <c r="H266" s="2" t="inlineStr">
        <is>
          <t>NEEDS_VERIFICATION</t>
        </is>
      </c>
    </row>
    <row r="267">
      <c r="A267" s="2" t="inlineStr">
        <is>
          <t>Lebanon</t>
        </is>
      </c>
      <c r="B267" s="2" t="inlineStr">
        <is>
          <t>Dinnieh Hospital</t>
        </is>
      </c>
      <c r="C267" s="2" t="inlineStr">
        <is>
          <t>Ownership</t>
        </is>
      </c>
      <c r="D267" s="2" t="inlineStr">
        <is>
          <t>MEDIUM</t>
        </is>
      </c>
      <c r="E267" s="2" t="inlineStr">
        <is>
          <t>Source verifies HD service but not ownership</t>
        </is>
      </c>
      <c r="F267" s="2" t="inlineStr">
        <is>
          <t>Verify ownership from regulator/facility registry</t>
        </is>
      </c>
      <c r="G267" s="2" t="inlineStr">
        <is>
          <t>Health authority facility registry</t>
        </is>
      </c>
      <c r="H267" s="2" t="inlineStr">
        <is>
          <t>NEEDS_VERIFICATION</t>
        </is>
      </c>
    </row>
    <row r="268">
      <c r="A268" s="2" t="inlineStr">
        <is>
          <t>Lebanon</t>
        </is>
      </c>
      <c r="B268" s="2" t="inlineStr">
        <is>
          <t>Dinnieh Hospital</t>
        </is>
      </c>
      <c r="C268" s="2" t="inlineStr">
        <is>
          <t>Distributor</t>
        </is>
      </c>
      <c r="D268" s="2" t="inlineStr">
        <is>
          <t>LOW</t>
        </is>
      </c>
      <c r="E268" s="2" t="inlineStr">
        <is>
          <t>No facility-specific distributor relationship verified</t>
        </is>
      </c>
      <c r="F268" s="2" t="inlineStr">
        <is>
          <t>Search procurement awards and supplier lists</t>
        </is>
      </c>
      <c r="G268" s="2" t="inlineStr">
        <is>
          <t>Procurement portal / facility procurement</t>
        </is>
      </c>
      <c r="H268" s="2" t="inlineStr">
        <is>
          <t>NEEDS_VERIFICATION</t>
        </is>
      </c>
    </row>
    <row r="269">
      <c r="A269" s="2" t="inlineStr">
        <is>
          <t>Lebanon</t>
        </is>
      </c>
      <c r="B269" s="2" t="inlineStr">
        <is>
          <t>Dinnieh Hospital</t>
        </is>
      </c>
      <c r="C269" s="2" t="inlineStr">
        <is>
          <t>Manufacturer/brand</t>
        </is>
      </c>
      <c r="D269" s="2" t="inlineStr">
        <is>
          <t>LOW</t>
        </is>
      </c>
      <c r="E269" s="2" t="inlineStr">
        <is>
          <t>No facility-specific brand relationship verified</t>
        </is>
      </c>
      <c r="F269" s="2" t="inlineStr">
        <is>
          <t>Search tender awards and catalogues</t>
        </is>
      </c>
      <c r="G269" s="2" t="inlineStr">
        <is>
          <t>Procurement portal / manufacturer</t>
        </is>
      </c>
      <c r="H269" s="2" t="inlineStr">
        <is>
          <t>NEEDS_VERIFICATION</t>
        </is>
      </c>
    </row>
    <row r="270">
      <c r="A270" s="2" t="inlineStr">
        <is>
          <t>Lebanon</t>
        </is>
      </c>
      <c r="B270" s="2" t="inlineStr">
        <is>
          <t>Haroun Hospital</t>
        </is>
      </c>
      <c r="C270" s="2" t="inlineStr">
        <is>
          <t>HD stations</t>
        </is>
      </c>
      <c r="D270" s="2" t="inlineStr">
        <is>
          <t>MEDIUM</t>
        </is>
      </c>
      <c r="E270" s="2" t="inlineStr">
        <is>
          <t>Facility-level station count not disclosed in source</t>
        </is>
      </c>
      <c r="F270" s="2" t="inlineStr">
        <is>
          <t>Obtain facility capacity report or licensing record</t>
        </is>
      </c>
      <c r="G270" s="2" t="inlineStr">
        <is>
          <t>Health authority / facility annual report</t>
        </is>
      </c>
      <c r="H270" s="2" t="inlineStr">
        <is>
          <t>NEEDS_VERIFICATION</t>
        </is>
      </c>
    </row>
    <row r="271">
      <c r="A271" s="2" t="inlineStr">
        <is>
          <t>Lebanon</t>
        </is>
      </c>
      <c r="B271" s="2" t="inlineStr">
        <is>
          <t>Haroun Hospital</t>
        </is>
      </c>
      <c r="C271" s="2" t="inlineStr">
        <is>
          <t>Ownership</t>
        </is>
      </c>
      <c r="D271" s="2" t="inlineStr">
        <is>
          <t>MEDIUM</t>
        </is>
      </c>
      <c r="E271" s="2" t="inlineStr">
        <is>
          <t>Source verifies HD service but not ownership</t>
        </is>
      </c>
      <c r="F271" s="2" t="inlineStr">
        <is>
          <t>Verify ownership from regulator/facility registry</t>
        </is>
      </c>
      <c r="G271" s="2" t="inlineStr">
        <is>
          <t>Health authority facility registry</t>
        </is>
      </c>
      <c r="H271" s="2" t="inlineStr">
        <is>
          <t>NEEDS_VERIFICATION</t>
        </is>
      </c>
    </row>
    <row r="272">
      <c r="A272" s="2" t="inlineStr">
        <is>
          <t>Lebanon</t>
        </is>
      </c>
      <c r="B272" s="2" t="inlineStr">
        <is>
          <t>Haroun Hospital</t>
        </is>
      </c>
      <c r="C272" s="2" t="inlineStr">
        <is>
          <t>Distributor</t>
        </is>
      </c>
      <c r="D272" s="2" t="inlineStr">
        <is>
          <t>LOW</t>
        </is>
      </c>
      <c r="E272" s="2" t="inlineStr">
        <is>
          <t>No facility-specific distributor relationship verified</t>
        </is>
      </c>
      <c r="F272" s="2" t="inlineStr">
        <is>
          <t>Search procurement awards and supplier lists</t>
        </is>
      </c>
      <c r="G272" s="2" t="inlineStr">
        <is>
          <t>Procurement portal / facility procurement</t>
        </is>
      </c>
      <c r="H272" s="2" t="inlineStr">
        <is>
          <t>NEEDS_VERIFICATION</t>
        </is>
      </c>
    </row>
    <row r="273">
      <c r="A273" s="2" t="inlineStr">
        <is>
          <t>Lebanon</t>
        </is>
      </c>
      <c r="B273" s="2" t="inlineStr">
        <is>
          <t>Haroun Hospital</t>
        </is>
      </c>
      <c r="C273" s="2" t="inlineStr">
        <is>
          <t>Manufacturer/brand</t>
        </is>
      </c>
      <c r="D273" s="2" t="inlineStr">
        <is>
          <t>LOW</t>
        </is>
      </c>
      <c r="E273" s="2" t="inlineStr">
        <is>
          <t>No facility-specific brand relationship verified</t>
        </is>
      </c>
      <c r="F273" s="2" t="inlineStr">
        <is>
          <t>Search tender awards and catalogues</t>
        </is>
      </c>
      <c r="G273" s="2" t="inlineStr">
        <is>
          <t>Procurement portal / manufacturer</t>
        </is>
      </c>
      <c r="H273" s="2" t="inlineStr">
        <is>
          <t>NEEDS_VERIFICATION</t>
        </is>
      </c>
    </row>
    <row r="274">
      <c r="A274" s="2" t="inlineStr">
        <is>
          <t>Lebanon</t>
        </is>
      </c>
      <c r="B274" s="2" t="inlineStr">
        <is>
          <t>Centre Hospitalier Universitaire Notre Dame de Secours</t>
        </is>
      </c>
      <c r="C274" s="2" t="inlineStr">
        <is>
          <t>HD stations</t>
        </is>
      </c>
      <c r="D274" s="2" t="inlineStr">
        <is>
          <t>MEDIUM</t>
        </is>
      </c>
      <c r="E274" s="2" t="inlineStr">
        <is>
          <t>Facility-level station count not disclosed in source</t>
        </is>
      </c>
      <c r="F274" s="2" t="inlineStr">
        <is>
          <t>Obtain facility capacity report or licensing record</t>
        </is>
      </c>
      <c r="G274" s="2" t="inlineStr">
        <is>
          <t>Health authority / facility annual report</t>
        </is>
      </c>
      <c r="H274" s="2" t="inlineStr">
        <is>
          <t>NEEDS_VERIFICATION</t>
        </is>
      </c>
    </row>
    <row r="275">
      <c r="A275" s="2" t="inlineStr">
        <is>
          <t>Lebanon</t>
        </is>
      </c>
      <c r="B275" s="2" t="inlineStr">
        <is>
          <t>Centre Hospitalier Universitaire Notre Dame de Secours</t>
        </is>
      </c>
      <c r="C275" s="2" t="inlineStr">
        <is>
          <t>Ownership</t>
        </is>
      </c>
      <c r="D275" s="2" t="inlineStr">
        <is>
          <t>MEDIUM</t>
        </is>
      </c>
      <c r="E275" s="2" t="inlineStr">
        <is>
          <t>Source verifies HD service but not ownership</t>
        </is>
      </c>
      <c r="F275" s="2" t="inlineStr">
        <is>
          <t>Verify ownership from regulator/facility registry</t>
        </is>
      </c>
      <c r="G275" s="2" t="inlineStr">
        <is>
          <t>Health authority facility registry</t>
        </is>
      </c>
      <c r="H275" s="2" t="inlineStr">
        <is>
          <t>NEEDS_VERIFICATION</t>
        </is>
      </c>
    </row>
    <row r="276">
      <c r="A276" s="2" t="inlineStr">
        <is>
          <t>Lebanon</t>
        </is>
      </c>
      <c r="B276" s="2" t="inlineStr">
        <is>
          <t>Centre Hospitalier Universitaire Notre Dame de Secours</t>
        </is>
      </c>
      <c r="C276" s="2" t="inlineStr">
        <is>
          <t>Distributor</t>
        </is>
      </c>
      <c r="D276" s="2" t="inlineStr">
        <is>
          <t>LOW</t>
        </is>
      </c>
      <c r="E276" s="2" t="inlineStr">
        <is>
          <t>No facility-specific distributor relationship verified</t>
        </is>
      </c>
      <c r="F276" s="2" t="inlineStr">
        <is>
          <t>Search procurement awards and supplier lists</t>
        </is>
      </c>
      <c r="G276" s="2" t="inlineStr">
        <is>
          <t>Procurement portal / facility procurement</t>
        </is>
      </c>
      <c r="H276" s="2" t="inlineStr">
        <is>
          <t>NEEDS_VERIFICATION</t>
        </is>
      </c>
    </row>
    <row r="277">
      <c r="A277" s="2" t="inlineStr">
        <is>
          <t>Lebanon</t>
        </is>
      </c>
      <c r="B277" s="2" t="inlineStr">
        <is>
          <t>Centre Hospitalier Universitaire Notre Dame de Secours</t>
        </is>
      </c>
      <c r="C277" s="2" t="inlineStr">
        <is>
          <t>Manufacturer/brand</t>
        </is>
      </c>
      <c r="D277" s="2" t="inlineStr">
        <is>
          <t>LOW</t>
        </is>
      </c>
      <c r="E277" s="2" t="inlineStr">
        <is>
          <t>No facility-specific brand relationship verified</t>
        </is>
      </c>
      <c r="F277" s="2" t="inlineStr">
        <is>
          <t>Search tender awards and catalogues</t>
        </is>
      </c>
      <c r="G277" s="2" t="inlineStr">
        <is>
          <t>Procurement portal / manufacturer</t>
        </is>
      </c>
      <c r="H277" s="2" t="inlineStr">
        <is>
          <t>NEEDS_VERIFICATION</t>
        </is>
      </c>
    </row>
    <row r="278">
      <c r="A278" s="2" t="inlineStr">
        <is>
          <t>Lebanon</t>
        </is>
      </c>
      <c r="B278" s="2" t="inlineStr">
        <is>
          <t>Sacre-Coeur Hospital</t>
        </is>
      </c>
      <c r="C278" s="2" t="inlineStr">
        <is>
          <t>HD stations</t>
        </is>
      </c>
      <c r="D278" s="2" t="inlineStr">
        <is>
          <t>MEDIUM</t>
        </is>
      </c>
      <c r="E278" s="2" t="inlineStr">
        <is>
          <t>Facility-level station count not disclosed in source</t>
        </is>
      </c>
      <c r="F278" s="2" t="inlineStr">
        <is>
          <t>Obtain facility capacity report or licensing record</t>
        </is>
      </c>
      <c r="G278" s="2" t="inlineStr">
        <is>
          <t>Health authority / facility annual report</t>
        </is>
      </c>
      <c r="H278" s="2" t="inlineStr">
        <is>
          <t>NEEDS_VERIFICATION</t>
        </is>
      </c>
    </row>
    <row r="279">
      <c r="A279" s="2" t="inlineStr">
        <is>
          <t>Lebanon</t>
        </is>
      </c>
      <c r="B279" s="2" t="inlineStr">
        <is>
          <t>Sacre-Coeur Hospital</t>
        </is>
      </c>
      <c r="C279" s="2" t="inlineStr">
        <is>
          <t>Ownership</t>
        </is>
      </c>
      <c r="D279" s="2" t="inlineStr">
        <is>
          <t>MEDIUM</t>
        </is>
      </c>
      <c r="E279" s="2" t="inlineStr">
        <is>
          <t>Source verifies HD service but not ownership</t>
        </is>
      </c>
      <c r="F279" s="2" t="inlineStr">
        <is>
          <t>Verify ownership from regulator/facility registry</t>
        </is>
      </c>
      <c r="G279" s="2" t="inlineStr">
        <is>
          <t>Health authority facility registry</t>
        </is>
      </c>
      <c r="H279" s="2" t="inlineStr">
        <is>
          <t>NEEDS_VERIFICATION</t>
        </is>
      </c>
    </row>
    <row r="280">
      <c r="A280" s="2" t="inlineStr">
        <is>
          <t>Lebanon</t>
        </is>
      </c>
      <c r="B280" s="2" t="inlineStr">
        <is>
          <t>Sacre-Coeur Hospital</t>
        </is>
      </c>
      <c r="C280" s="2" t="inlineStr">
        <is>
          <t>Distributor</t>
        </is>
      </c>
      <c r="D280" s="2" t="inlineStr">
        <is>
          <t>LOW</t>
        </is>
      </c>
      <c r="E280" s="2" t="inlineStr">
        <is>
          <t>No facility-specific distributor relationship verified</t>
        </is>
      </c>
      <c r="F280" s="2" t="inlineStr">
        <is>
          <t>Search procurement awards and supplier lists</t>
        </is>
      </c>
      <c r="G280" s="2" t="inlineStr">
        <is>
          <t>Procurement portal / facility procurement</t>
        </is>
      </c>
      <c r="H280" s="2" t="inlineStr">
        <is>
          <t>NEEDS_VERIFICATION</t>
        </is>
      </c>
    </row>
    <row r="281">
      <c r="A281" s="2" t="inlineStr">
        <is>
          <t>Lebanon</t>
        </is>
      </c>
      <c r="B281" s="2" t="inlineStr">
        <is>
          <t>Sacre-Coeur Hospital</t>
        </is>
      </c>
      <c r="C281" s="2" t="inlineStr">
        <is>
          <t>Manufacturer/brand</t>
        </is>
      </c>
      <c r="D281" s="2" t="inlineStr">
        <is>
          <t>LOW</t>
        </is>
      </c>
      <c r="E281" s="2" t="inlineStr">
        <is>
          <t>No facility-specific brand relationship verified</t>
        </is>
      </c>
      <c r="F281" s="2" t="inlineStr">
        <is>
          <t>Search tender awards and catalogues</t>
        </is>
      </c>
      <c r="G281" s="2" t="inlineStr">
        <is>
          <t>Procurement portal / manufacturer</t>
        </is>
      </c>
      <c r="H281" s="2" t="inlineStr">
        <is>
          <t>NEEDS_VERIFICATION</t>
        </is>
      </c>
    </row>
    <row r="282">
      <c r="A282" s="2" t="inlineStr">
        <is>
          <t>Lebanon</t>
        </is>
      </c>
      <c r="B282" s="2" t="inlineStr">
        <is>
          <t>Middle-East Institute of Health</t>
        </is>
      </c>
      <c r="C282" s="2" t="inlineStr">
        <is>
          <t>HD stations</t>
        </is>
      </c>
      <c r="D282" s="2" t="inlineStr">
        <is>
          <t>MEDIUM</t>
        </is>
      </c>
      <c r="E282" s="2" t="inlineStr">
        <is>
          <t>Facility-level station count not disclosed in source</t>
        </is>
      </c>
      <c r="F282" s="2" t="inlineStr">
        <is>
          <t>Obtain facility capacity report or licensing record</t>
        </is>
      </c>
      <c r="G282" s="2" t="inlineStr">
        <is>
          <t>Health authority / facility annual report</t>
        </is>
      </c>
      <c r="H282" s="2" t="inlineStr">
        <is>
          <t>NEEDS_VERIFICATION</t>
        </is>
      </c>
    </row>
    <row r="283">
      <c r="A283" s="2" t="inlineStr">
        <is>
          <t>Lebanon</t>
        </is>
      </c>
      <c r="B283" s="2" t="inlineStr">
        <is>
          <t>Middle-East Institute of Health</t>
        </is>
      </c>
      <c r="C283" s="2" t="inlineStr">
        <is>
          <t>Ownership</t>
        </is>
      </c>
      <c r="D283" s="2" t="inlineStr">
        <is>
          <t>MEDIUM</t>
        </is>
      </c>
      <c r="E283" s="2" t="inlineStr">
        <is>
          <t>Source verifies HD service but not ownership</t>
        </is>
      </c>
      <c r="F283" s="2" t="inlineStr">
        <is>
          <t>Verify ownership from regulator/facility registry</t>
        </is>
      </c>
      <c r="G283" s="2" t="inlineStr">
        <is>
          <t>Health authority facility registry</t>
        </is>
      </c>
      <c r="H283" s="2" t="inlineStr">
        <is>
          <t>NEEDS_VERIFICATION</t>
        </is>
      </c>
    </row>
    <row r="284">
      <c r="A284" s="2" t="inlineStr">
        <is>
          <t>Lebanon</t>
        </is>
      </c>
      <c r="B284" s="2" t="inlineStr">
        <is>
          <t>Middle-East Institute of Health</t>
        </is>
      </c>
      <c r="C284" s="2" t="inlineStr">
        <is>
          <t>Distributor</t>
        </is>
      </c>
      <c r="D284" s="2" t="inlineStr">
        <is>
          <t>LOW</t>
        </is>
      </c>
      <c r="E284" s="2" t="inlineStr">
        <is>
          <t>No facility-specific distributor relationship verified</t>
        </is>
      </c>
      <c r="F284" s="2" t="inlineStr">
        <is>
          <t>Search procurement awards and supplier lists</t>
        </is>
      </c>
      <c r="G284" s="2" t="inlineStr">
        <is>
          <t>Procurement portal / facility procurement</t>
        </is>
      </c>
      <c r="H284" s="2" t="inlineStr">
        <is>
          <t>NEEDS_VERIFICATION</t>
        </is>
      </c>
    </row>
    <row r="285">
      <c r="A285" s="2" t="inlineStr">
        <is>
          <t>Lebanon</t>
        </is>
      </c>
      <c r="B285" s="2" t="inlineStr">
        <is>
          <t>Middle-East Institute of Health</t>
        </is>
      </c>
      <c r="C285" s="2" t="inlineStr">
        <is>
          <t>Manufacturer/brand</t>
        </is>
      </c>
      <c r="D285" s="2" t="inlineStr">
        <is>
          <t>LOW</t>
        </is>
      </c>
      <c r="E285" s="2" t="inlineStr">
        <is>
          <t>No facility-specific brand relationship verified</t>
        </is>
      </c>
      <c r="F285" s="2" t="inlineStr">
        <is>
          <t>Search tender awards and catalogues</t>
        </is>
      </c>
      <c r="G285" s="2" t="inlineStr">
        <is>
          <t>Procurement portal / manufacturer</t>
        </is>
      </c>
      <c r="H285" s="2" t="inlineStr">
        <is>
          <t>NEEDS_VERIFICATION</t>
        </is>
      </c>
    </row>
    <row r="286">
      <c r="A286" s="2" t="inlineStr">
        <is>
          <t>Lebanon</t>
        </is>
      </c>
      <c r="B286" s="2" t="inlineStr">
        <is>
          <t>Saint-Joseph Hospital</t>
        </is>
      </c>
      <c r="C286" s="2" t="inlineStr">
        <is>
          <t>HD stations</t>
        </is>
      </c>
      <c r="D286" s="2" t="inlineStr">
        <is>
          <t>MEDIUM</t>
        </is>
      </c>
      <c r="E286" s="2" t="inlineStr">
        <is>
          <t>Facility-level station count not disclosed in source</t>
        </is>
      </c>
      <c r="F286" s="2" t="inlineStr">
        <is>
          <t>Obtain facility capacity report or licensing record</t>
        </is>
      </c>
      <c r="G286" s="2" t="inlineStr">
        <is>
          <t>Health authority / facility annual report</t>
        </is>
      </c>
      <c r="H286" s="2" t="inlineStr">
        <is>
          <t>NEEDS_VERIFICATION</t>
        </is>
      </c>
    </row>
    <row r="287">
      <c r="A287" s="2" t="inlineStr">
        <is>
          <t>Lebanon</t>
        </is>
      </c>
      <c r="B287" s="2" t="inlineStr">
        <is>
          <t>Saint-Joseph Hospital</t>
        </is>
      </c>
      <c r="C287" s="2" t="inlineStr">
        <is>
          <t>Ownership</t>
        </is>
      </c>
      <c r="D287" s="2" t="inlineStr">
        <is>
          <t>MEDIUM</t>
        </is>
      </c>
      <c r="E287" s="2" t="inlineStr">
        <is>
          <t>Source verifies HD service but not ownership</t>
        </is>
      </c>
      <c r="F287" s="2" t="inlineStr">
        <is>
          <t>Verify ownership from regulator/facility registry</t>
        </is>
      </c>
      <c r="G287" s="2" t="inlineStr">
        <is>
          <t>Health authority facility registry</t>
        </is>
      </c>
      <c r="H287" s="2" t="inlineStr">
        <is>
          <t>NEEDS_VERIFICATION</t>
        </is>
      </c>
    </row>
    <row r="288">
      <c r="A288" s="2" t="inlineStr">
        <is>
          <t>Lebanon</t>
        </is>
      </c>
      <c r="B288" s="2" t="inlineStr">
        <is>
          <t>Saint-Joseph Hospital</t>
        </is>
      </c>
      <c r="C288" s="2" t="inlineStr">
        <is>
          <t>Distributor</t>
        </is>
      </c>
      <c r="D288" s="2" t="inlineStr">
        <is>
          <t>LOW</t>
        </is>
      </c>
      <c r="E288" s="2" t="inlineStr">
        <is>
          <t>No facility-specific distributor relationship verified</t>
        </is>
      </c>
      <c r="F288" s="2" t="inlineStr">
        <is>
          <t>Search procurement awards and supplier lists</t>
        </is>
      </c>
      <c r="G288" s="2" t="inlineStr">
        <is>
          <t>Procurement portal / facility procurement</t>
        </is>
      </c>
      <c r="H288" s="2" t="inlineStr">
        <is>
          <t>NEEDS_VERIFICATION</t>
        </is>
      </c>
    </row>
    <row r="289">
      <c r="A289" s="2" t="inlineStr">
        <is>
          <t>Lebanon</t>
        </is>
      </c>
      <c r="B289" s="2" t="inlineStr">
        <is>
          <t>Saint-Joseph Hospital</t>
        </is>
      </c>
      <c r="C289" s="2" t="inlineStr">
        <is>
          <t>Manufacturer/brand</t>
        </is>
      </c>
      <c r="D289" s="2" t="inlineStr">
        <is>
          <t>LOW</t>
        </is>
      </c>
      <c r="E289" s="2" t="inlineStr">
        <is>
          <t>No facility-specific brand relationship verified</t>
        </is>
      </c>
      <c r="F289" s="2" t="inlineStr">
        <is>
          <t>Search tender awards and catalogues</t>
        </is>
      </c>
      <c r="G289" s="2" t="inlineStr">
        <is>
          <t>Procurement portal / manufacturer</t>
        </is>
      </c>
      <c r="H289" s="2" t="inlineStr">
        <is>
          <t>NEEDS_VERIFICATION</t>
        </is>
      </c>
    </row>
    <row r="290">
      <c r="A290" s="2" t="inlineStr">
        <is>
          <t>Lebanon</t>
        </is>
      </c>
      <c r="B290" s="2" t="inlineStr">
        <is>
          <t>Bellevue Medical Center</t>
        </is>
      </c>
      <c r="C290" s="2" t="inlineStr">
        <is>
          <t>HD stations</t>
        </is>
      </c>
      <c r="D290" s="2" t="inlineStr">
        <is>
          <t>MEDIUM</t>
        </is>
      </c>
      <c r="E290" s="2" t="inlineStr">
        <is>
          <t>Facility-level station count not disclosed in source</t>
        </is>
      </c>
      <c r="F290" s="2" t="inlineStr">
        <is>
          <t>Obtain facility capacity report or licensing record</t>
        </is>
      </c>
      <c r="G290" s="2" t="inlineStr">
        <is>
          <t>Health authority / facility annual report</t>
        </is>
      </c>
      <c r="H290" s="2" t="inlineStr">
        <is>
          <t>NEEDS_VERIFICATION</t>
        </is>
      </c>
    </row>
    <row r="291">
      <c r="A291" s="2" t="inlineStr">
        <is>
          <t>Lebanon</t>
        </is>
      </c>
      <c r="B291" s="2" t="inlineStr">
        <is>
          <t>Bellevue Medical Center</t>
        </is>
      </c>
      <c r="C291" s="2" t="inlineStr">
        <is>
          <t>Ownership</t>
        </is>
      </c>
      <c r="D291" s="2" t="inlineStr">
        <is>
          <t>MEDIUM</t>
        </is>
      </c>
      <c r="E291" s="2" t="inlineStr">
        <is>
          <t>Source verifies HD service but not ownership</t>
        </is>
      </c>
      <c r="F291" s="2" t="inlineStr">
        <is>
          <t>Verify ownership from regulator/facility registry</t>
        </is>
      </c>
      <c r="G291" s="2" t="inlineStr">
        <is>
          <t>Health authority facility registry</t>
        </is>
      </c>
      <c r="H291" s="2" t="inlineStr">
        <is>
          <t>NEEDS_VERIFICATION</t>
        </is>
      </c>
    </row>
    <row r="292">
      <c r="A292" s="2" t="inlineStr">
        <is>
          <t>Lebanon</t>
        </is>
      </c>
      <c r="B292" s="2" t="inlineStr">
        <is>
          <t>Bellevue Medical Center</t>
        </is>
      </c>
      <c r="C292" s="2" t="inlineStr">
        <is>
          <t>Distributor</t>
        </is>
      </c>
      <c r="D292" s="2" t="inlineStr">
        <is>
          <t>LOW</t>
        </is>
      </c>
      <c r="E292" s="2" t="inlineStr">
        <is>
          <t>No facility-specific distributor relationship verified</t>
        </is>
      </c>
      <c r="F292" s="2" t="inlineStr">
        <is>
          <t>Search procurement awards and supplier lists</t>
        </is>
      </c>
      <c r="G292" s="2" t="inlineStr">
        <is>
          <t>Procurement portal / facility procurement</t>
        </is>
      </c>
      <c r="H292" s="2" t="inlineStr">
        <is>
          <t>NEEDS_VERIFICATION</t>
        </is>
      </c>
    </row>
    <row r="293">
      <c r="A293" s="2" t="inlineStr">
        <is>
          <t>Lebanon</t>
        </is>
      </c>
      <c r="B293" s="2" t="inlineStr">
        <is>
          <t>Bellevue Medical Center</t>
        </is>
      </c>
      <c r="C293" s="2" t="inlineStr">
        <is>
          <t>Manufacturer/brand</t>
        </is>
      </c>
      <c r="D293" s="2" t="inlineStr">
        <is>
          <t>LOW</t>
        </is>
      </c>
      <c r="E293" s="2" t="inlineStr">
        <is>
          <t>No facility-specific brand relationship verified</t>
        </is>
      </c>
      <c r="F293" s="2" t="inlineStr">
        <is>
          <t>Search tender awards and catalogues</t>
        </is>
      </c>
      <c r="G293" s="2" t="inlineStr">
        <is>
          <t>Procurement portal / manufacturer</t>
        </is>
      </c>
      <c r="H293" s="2" t="inlineStr">
        <is>
          <t>NEEDS_VERIFICATION</t>
        </is>
      </c>
    </row>
    <row r="294">
      <c r="A294" s="2" t="inlineStr">
        <is>
          <t>Lebanon</t>
        </is>
      </c>
      <c r="B294" s="2" t="inlineStr">
        <is>
          <t>Hayek Hospital</t>
        </is>
      </c>
      <c r="C294" s="2" t="inlineStr">
        <is>
          <t>HD stations</t>
        </is>
      </c>
      <c r="D294" s="2" t="inlineStr">
        <is>
          <t>MEDIUM</t>
        </is>
      </c>
      <c r="E294" s="2" t="inlineStr">
        <is>
          <t>Facility-level station count not disclosed in source</t>
        </is>
      </c>
      <c r="F294" s="2" t="inlineStr">
        <is>
          <t>Obtain facility capacity report or licensing record</t>
        </is>
      </c>
      <c r="G294" s="2" t="inlineStr">
        <is>
          <t>Health authority / facility annual report</t>
        </is>
      </c>
      <c r="H294" s="2" t="inlineStr">
        <is>
          <t>NEEDS_VERIFICATION</t>
        </is>
      </c>
    </row>
    <row r="295">
      <c r="A295" s="2" t="inlineStr">
        <is>
          <t>Lebanon</t>
        </is>
      </c>
      <c r="B295" s="2" t="inlineStr">
        <is>
          <t>Hayek Hospital</t>
        </is>
      </c>
      <c r="C295" s="2" t="inlineStr">
        <is>
          <t>Ownership</t>
        </is>
      </c>
      <c r="D295" s="2" t="inlineStr">
        <is>
          <t>MEDIUM</t>
        </is>
      </c>
      <c r="E295" s="2" t="inlineStr">
        <is>
          <t>Source verifies HD service but not ownership</t>
        </is>
      </c>
      <c r="F295" s="2" t="inlineStr">
        <is>
          <t>Verify ownership from regulator/facility registry</t>
        </is>
      </c>
      <c r="G295" s="2" t="inlineStr">
        <is>
          <t>Health authority facility registry</t>
        </is>
      </c>
      <c r="H295" s="2" t="inlineStr">
        <is>
          <t>NEEDS_VERIFICATION</t>
        </is>
      </c>
    </row>
    <row r="296">
      <c r="A296" s="2" t="inlineStr">
        <is>
          <t>Lebanon</t>
        </is>
      </c>
      <c r="B296" s="2" t="inlineStr">
        <is>
          <t>Hayek Hospital</t>
        </is>
      </c>
      <c r="C296" s="2" t="inlineStr">
        <is>
          <t>Distributor</t>
        </is>
      </c>
      <c r="D296" s="2" t="inlineStr">
        <is>
          <t>LOW</t>
        </is>
      </c>
      <c r="E296" s="2" t="inlineStr">
        <is>
          <t>No facility-specific distributor relationship verified</t>
        </is>
      </c>
      <c r="F296" s="2" t="inlineStr">
        <is>
          <t>Search procurement awards and supplier lists</t>
        </is>
      </c>
      <c r="G296" s="2" t="inlineStr">
        <is>
          <t>Procurement portal / facility procurement</t>
        </is>
      </c>
      <c r="H296" s="2" t="inlineStr">
        <is>
          <t>NEEDS_VERIFICATION</t>
        </is>
      </c>
    </row>
    <row r="297">
      <c r="A297" s="2" t="inlineStr">
        <is>
          <t>Lebanon</t>
        </is>
      </c>
      <c r="B297" s="2" t="inlineStr">
        <is>
          <t>Hayek Hospital</t>
        </is>
      </c>
      <c r="C297" s="2" t="inlineStr">
        <is>
          <t>Manufacturer/brand</t>
        </is>
      </c>
      <c r="D297" s="2" t="inlineStr">
        <is>
          <t>LOW</t>
        </is>
      </c>
      <c r="E297" s="2" t="inlineStr">
        <is>
          <t>No facility-specific brand relationship verified</t>
        </is>
      </c>
      <c r="F297" s="2" t="inlineStr">
        <is>
          <t>Search tender awards and catalogues</t>
        </is>
      </c>
      <c r="G297" s="2" t="inlineStr">
        <is>
          <t>Procurement portal / manufacturer</t>
        </is>
      </c>
      <c r="H297" s="2" t="inlineStr">
        <is>
          <t>NEEDS_VERIFICATION</t>
        </is>
      </c>
    </row>
    <row r="298">
      <c r="A298" s="2" t="inlineStr">
        <is>
          <t>Lebanon</t>
        </is>
      </c>
      <c r="B298" s="2" t="inlineStr">
        <is>
          <t>Orange Nassau Hospital</t>
        </is>
      </c>
      <c r="C298" s="2" t="inlineStr">
        <is>
          <t>HD stations</t>
        </is>
      </c>
      <c r="D298" s="2" t="inlineStr">
        <is>
          <t>MEDIUM</t>
        </is>
      </c>
      <c r="E298" s="2" t="inlineStr">
        <is>
          <t>Facility-level station count not disclosed in source</t>
        </is>
      </c>
      <c r="F298" s="2" t="inlineStr">
        <is>
          <t>Obtain facility capacity report or licensing record</t>
        </is>
      </c>
      <c r="G298" s="2" t="inlineStr">
        <is>
          <t>Health authority / facility annual report</t>
        </is>
      </c>
      <c r="H298" s="2" t="inlineStr">
        <is>
          <t>NEEDS_VERIFICATION</t>
        </is>
      </c>
    </row>
    <row r="299">
      <c r="A299" s="2" t="inlineStr">
        <is>
          <t>Lebanon</t>
        </is>
      </c>
      <c r="B299" s="2" t="inlineStr">
        <is>
          <t>Orange Nassau Hospital</t>
        </is>
      </c>
      <c r="C299" s="2" t="inlineStr">
        <is>
          <t>Ownership</t>
        </is>
      </c>
      <c r="D299" s="2" t="inlineStr">
        <is>
          <t>MEDIUM</t>
        </is>
      </c>
      <c r="E299" s="2" t="inlineStr">
        <is>
          <t>Source verifies HD service but not ownership</t>
        </is>
      </c>
      <c r="F299" s="2" t="inlineStr">
        <is>
          <t>Verify ownership from regulator/facility registry</t>
        </is>
      </c>
      <c r="G299" s="2" t="inlineStr">
        <is>
          <t>Health authority facility registry</t>
        </is>
      </c>
      <c r="H299" s="2" t="inlineStr">
        <is>
          <t>NEEDS_VERIFICATION</t>
        </is>
      </c>
    </row>
    <row r="300">
      <c r="A300" s="2" t="inlineStr">
        <is>
          <t>Lebanon</t>
        </is>
      </c>
      <c r="B300" s="2" t="inlineStr">
        <is>
          <t>Orange Nassau Hospital</t>
        </is>
      </c>
      <c r="C300" s="2" t="inlineStr">
        <is>
          <t>Distributor</t>
        </is>
      </c>
      <c r="D300" s="2" t="inlineStr">
        <is>
          <t>LOW</t>
        </is>
      </c>
      <c r="E300" s="2" t="inlineStr">
        <is>
          <t>No facility-specific distributor relationship verified</t>
        </is>
      </c>
      <c r="F300" s="2" t="inlineStr">
        <is>
          <t>Search procurement awards and supplier lists</t>
        </is>
      </c>
      <c r="G300" s="2" t="inlineStr">
        <is>
          <t>Procurement portal / facility procurement</t>
        </is>
      </c>
      <c r="H300" s="2" t="inlineStr">
        <is>
          <t>NEEDS_VERIFICATION</t>
        </is>
      </c>
    </row>
    <row r="301">
      <c r="A301" s="2" t="inlineStr">
        <is>
          <t>Lebanon</t>
        </is>
      </c>
      <c r="B301" s="2" t="inlineStr">
        <is>
          <t>Orange Nassau Hospital</t>
        </is>
      </c>
      <c r="C301" s="2" t="inlineStr">
        <is>
          <t>Manufacturer/brand</t>
        </is>
      </c>
      <c r="D301" s="2" t="inlineStr">
        <is>
          <t>LOW</t>
        </is>
      </c>
      <c r="E301" s="2" t="inlineStr">
        <is>
          <t>No facility-specific brand relationship verified</t>
        </is>
      </c>
      <c r="F301" s="2" t="inlineStr">
        <is>
          <t>Search tender awards and catalogues</t>
        </is>
      </c>
      <c r="G301" s="2" t="inlineStr">
        <is>
          <t>Procurement portal / manufacturer</t>
        </is>
      </c>
      <c r="H301" s="2" t="inlineStr">
        <is>
          <t>NEEDS_VERIFICATION</t>
        </is>
      </c>
    </row>
    <row r="302">
      <c r="A302" s="2" t="inlineStr">
        <is>
          <t>Lebanon</t>
        </is>
      </c>
      <c r="B302" s="2" t="inlineStr">
        <is>
          <t>Islamic Charity Hospital</t>
        </is>
      </c>
      <c r="C302" s="2" t="inlineStr">
        <is>
          <t>HD stations</t>
        </is>
      </c>
      <c r="D302" s="2" t="inlineStr">
        <is>
          <t>MEDIUM</t>
        </is>
      </c>
      <c r="E302" s="2" t="inlineStr">
        <is>
          <t>Facility-level station count not disclosed in source</t>
        </is>
      </c>
      <c r="F302" s="2" t="inlineStr">
        <is>
          <t>Obtain facility capacity report or licensing record</t>
        </is>
      </c>
      <c r="G302" s="2" t="inlineStr">
        <is>
          <t>Health authority / facility annual report</t>
        </is>
      </c>
      <c r="H302" s="2" t="inlineStr">
        <is>
          <t>NEEDS_VERIFICATION</t>
        </is>
      </c>
    </row>
    <row r="303">
      <c r="A303" s="2" t="inlineStr">
        <is>
          <t>Lebanon</t>
        </is>
      </c>
      <c r="B303" s="2" t="inlineStr">
        <is>
          <t>Islamic Charity Hospital</t>
        </is>
      </c>
      <c r="C303" s="2" t="inlineStr">
        <is>
          <t>Ownership</t>
        </is>
      </c>
      <c r="D303" s="2" t="inlineStr">
        <is>
          <t>MEDIUM</t>
        </is>
      </c>
      <c r="E303" s="2" t="inlineStr">
        <is>
          <t>Source verifies HD service but not ownership</t>
        </is>
      </c>
      <c r="F303" s="2" t="inlineStr">
        <is>
          <t>Verify ownership from regulator/facility registry</t>
        </is>
      </c>
      <c r="G303" s="2" t="inlineStr">
        <is>
          <t>Health authority facility registry</t>
        </is>
      </c>
      <c r="H303" s="2" t="inlineStr">
        <is>
          <t>NEEDS_VERIFICATION</t>
        </is>
      </c>
    </row>
    <row r="304">
      <c r="A304" s="2" t="inlineStr">
        <is>
          <t>Lebanon</t>
        </is>
      </c>
      <c r="B304" s="2" t="inlineStr">
        <is>
          <t>Islamic Charity Hospital</t>
        </is>
      </c>
      <c r="C304" s="2" t="inlineStr">
        <is>
          <t>Distributor</t>
        </is>
      </c>
      <c r="D304" s="2" t="inlineStr">
        <is>
          <t>LOW</t>
        </is>
      </c>
      <c r="E304" s="2" t="inlineStr">
        <is>
          <t>No facility-specific distributor relationship verified</t>
        </is>
      </c>
      <c r="F304" s="2" t="inlineStr">
        <is>
          <t>Search procurement awards and supplier lists</t>
        </is>
      </c>
      <c r="G304" s="2" t="inlineStr">
        <is>
          <t>Procurement portal / facility procurement</t>
        </is>
      </c>
      <c r="H304" s="2" t="inlineStr">
        <is>
          <t>NEEDS_VERIFICATION</t>
        </is>
      </c>
    </row>
    <row r="305">
      <c r="A305" s="2" t="inlineStr">
        <is>
          <t>Lebanon</t>
        </is>
      </c>
      <c r="B305" s="2" t="inlineStr">
        <is>
          <t>Islamic Charity Hospital</t>
        </is>
      </c>
      <c r="C305" s="2" t="inlineStr">
        <is>
          <t>Manufacturer/brand</t>
        </is>
      </c>
      <c r="D305" s="2" t="inlineStr">
        <is>
          <t>LOW</t>
        </is>
      </c>
      <c r="E305" s="2" t="inlineStr">
        <is>
          <t>No facility-specific brand relationship verified</t>
        </is>
      </c>
      <c r="F305" s="2" t="inlineStr">
        <is>
          <t>Search tender awards and catalogues</t>
        </is>
      </c>
      <c r="G305" s="2" t="inlineStr">
        <is>
          <t>Procurement portal / manufacturer</t>
        </is>
      </c>
      <c r="H305" s="2" t="inlineStr">
        <is>
          <t>NEEDS_VERIFICATION</t>
        </is>
      </c>
    </row>
    <row r="306">
      <c r="A306" s="2" t="inlineStr">
        <is>
          <t>Lebanon</t>
        </is>
      </c>
      <c r="B306" s="2" t="inlineStr">
        <is>
          <t>Saint-George Ajaltoun Hospital</t>
        </is>
      </c>
      <c r="C306" s="2" t="inlineStr">
        <is>
          <t>HD stations</t>
        </is>
      </c>
      <c r="D306" s="2" t="inlineStr">
        <is>
          <t>MEDIUM</t>
        </is>
      </c>
      <c r="E306" s="2" t="inlineStr">
        <is>
          <t>Facility-level station count not disclosed in source</t>
        </is>
      </c>
      <c r="F306" s="2" t="inlineStr">
        <is>
          <t>Obtain facility capacity report or licensing record</t>
        </is>
      </c>
      <c r="G306" s="2" t="inlineStr">
        <is>
          <t>Health authority / facility annual report</t>
        </is>
      </c>
      <c r="H306" s="2" t="inlineStr">
        <is>
          <t>NEEDS_VERIFICATION</t>
        </is>
      </c>
    </row>
    <row r="307">
      <c r="A307" s="2" t="inlineStr">
        <is>
          <t>Lebanon</t>
        </is>
      </c>
      <c r="B307" s="2" t="inlineStr">
        <is>
          <t>Saint-George Ajaltoun Hospital</t>
        </is>
      </c>
      <c r="C307" s="2" t="inlineStr">
        <is>
          <t>Ownership</t>
        </is>
      </c>
      <c r="D307" s="2" t="inlineStr">
        <is>
          <t>MEDIUM</t>
        </is>
      </c>
      <c r="E307" s="2" t="inlineStr">
        <is>
          <t>Source verifies HD service but not ownership</t>
        </is>
      </c>
      <c r="F307" s="2" t="inlineStr">
        <is>
          <t>Verify ownership from regulator/facility registry</t>
        </is>
      </c>
      <c r="G307" s="2" t="inlineStr">
        <is>
          <t>Health authority facility registry</t>
        </is>
      </c>
      <c r="H307" s="2" t="inlineStr">
        <is>
          <t>NEEDS_VERIFICATION</t>
        </is>
      </c>
    </row>
    <row r="308">
      <c r="A308" s="2" t="inlineStr">
        <is>
          <t>Lebanon</t>
        </is>
      </c>
      <c r="B308" s="2" t="inlineStr">
        <is>
          <t>Saint-George Ajaltoun Hospital</t>
        </is>
      </c>
      <c r="C308" s="2" t="inlineStr">
        <is>
          <t>Distributor</t>
        </is>
      </c>
      <c r="D308" s="2" t="inlineStr">
        <is>
          <t>LOW</t>
        </is>
      </c>
      <c r="E308" s="2" t="inlineStr">
        <is>
          <t>No facility-specific distributor relationship verified</t>
        </is>
      </c>
      <c r="F308" s="2" t="inlineStr">
        <is>
          <t>Search procurement awards and supplier lists</t>
        </is>
      </c>
      <c r="G308" s="2" t="inlineStr">
        <is>
          <t>Procurement portal / facility procurement</t>
        </is>
      </c>
      <c r="H308" s="2" t="inlineStr">
        <is>
          <t>NEEDS_VERIFICATION</t>
        </is>
      </c>
    </row>
    <row r="309">
      <c r="A309" s="2" t="inlineStr">
        <is>
          <t>Lebanon</t>
        </is>
      </c>
      <c r="B309" s="2" t="inlineStr">
        <is>
          <t>Saint-George Ajaltoun Hospital</t>
        </is>
      </c>
      <c r="C309" s="2" t="inlineStr">
        <is>
          <t>Manufacturer/brand</t>
        </is>
      </c>
      <c r="D309" s="2" t="inlineStr">
        <is>
          <t>LOW</t>
        </is>
      </c>
      <c r="E309" s="2" t="inlineStr">
        <is>
          <t>No facility-specific brand relationship verified</t>
        </is>
      </c>
      <c r="F309" s="2" t="inlineStr">
        <is>
          <t>Search tender awards and catalogues</t>
        </is>
      </c>
      <c r="G309" s="2" t="inlineStr">
        <is>
          <t>Procurement portal / manufacturer</t>
        </is>
      </c>
      <c r="H309" s="2" t="inlineStr">
        <is>
          <t>NEEDS_VERIFICATION</t>
        </is>
      </c>
    </row>
    <row r="310">
      <c r="A310" s="2" t="inlineStr">
        <is>
          <t>Lebanon</t>
        </is>
      </c>
      <c r="B310" s="2" t="inlineStr">
        <is>
          <t>Centre Hospitalier du Nord</t>
        </is>
      </c>
      <c r="C310" s="2" t="inlineStr">
        <is>
          <t>HD stations</t>
        </is>
      </c>
      <c r="D310" s="2" t="inlineStr">
        <is>
          <t>MEDIUM</t>
        </is>
      </c>
      <c r="E310" s="2" t="inlineStr">
        <is>
          <t>Facility-level station count not disclosed in source</t>
        </is>
      </c>
      <c r="F310" s="2" t="inlineStr">
        <is>
          <t>Obtain facility capacity report or licensing record</t>
        </is>
      </c>
      <c r="G310" s="2" t="inlineStr">
        <is>
          <t>Health authority / facility annual report</t>
        </is>
      </c>
      <c r="H310" s="2" t="inlineStr">
        <is>
          <t>NEEDS_VERIFICATION</t>
        </is>
      </c>
    </row>
    <row r="311">
      <c r="A311" s="2" t="inlineStr">
        <is>
          <t>Lebanon</t>
        </is>
      </c>
      <c r="B311" s="2" t="inlineStr">
        <is>
          <t>Centre Hospitalier du Nord</t>
        </is>
      </c>
      <c r="C311" s="2" t="inlineStr">
        <is>
          <t>Ownership</t>
        </is>
      </c>
      <c r="D311" s="2" t="inlineStr">
        <is>
          <t>MEDIUM</t>
        </is>
      </c>
      <c r="E311" s="2" t="inlineStr">
        <is>
          <t>Source verifies HD service but not ownership</t>
        </is>
      </c>
      <c r="F311" s="2" t="inlineStr">
        <is>
          <t>Verify ownership from regulator/facility registry</t>
        </is>
      </c>
      <c r="G311" s="2" t="inlineStr">
        <is>
          <t>Health authority facility registry</t>
        </is>
      </c>
      <c r="H311" s="2" t="inlineStr">
        <is>
          <t>NEEDS_VERIFICATION</t>
        </is>
      </c>
    </row>
    <row r="312">
      <c r="A312" s="2" t="inlineStr">
        <is>
          <t>Lebanon</t>
        </is>
      </c>
      <c r="B312" s="2" t="inlineStr">
        <is>
          <t>Centre Hospitalier du Nord</t>
        </is>
      </c>
      <c r="C312" s="2" t="inlineStr">
        <is>
          <t>Distributor</t>
        </is>
      </c>
      <c r="D312" s="2" t="inlineStr">
        <is>
          <t>LOW</t>
        </is>
      </c>
      <c r="E312" s="2" t="inlineStr">
        <is>
          <t>No facility-specific distributor relationship verified</t>
        </is>
      </c>
      <c r="F312" s="2" t="inlineStr">
        <is>
          <t>Search procurement awards and supplier lists</t>
        </is>
      </c>
      <c r="G312" s="2" t="inlineStr">
        <is>
          <t>Procurement portal / facility procurement</t>
        </is>
      </c>
      <c r="H312" s="2" t="inlineStr">
        <is>
          <t>NEEDS_VERIFICATION</t>
        </is>
      </c>
    </row>
    <row r="313">
      <c r="A313" s="2" t="inlineStr">
        <is>
          <t>Lebanon</t>
        </is>
      </c>
      <c r="B313" s="2" t="inlineStr">
        <is>
          <t>Centre Hospitalier du Nord</t>
        </is>
      </c>
      <c r="C313" s="2" t="inlineStr">
        <is>
          <t>Manufacturer/brand</t>
        </is>
      </c>
      <c r="D313" s="2" t="inlineStr">
        <is>
          <t>LOW</t>
        </is>
      </c>
      <c r="E313" s="2" t="inlineStr">
        <is>
          <t>No facility-specific brand relationship verified</t>
        </is>
      </c>
      <c r="F313" s="2" t="inlineStr">
        <is>
          <t>Search tender awards and catalogues</t>
        </is>
      </c>
      <c r="G313" s="2" t="inlineStr">
        <is>
          <t>Procurement portal / manufacturer</t>
        </is>
      </c>
      <c r="H313" s="2" t="inlineStr">
        <is>
          <t>NEEDS_VERIFICATION</t>
        </is>
      </c>
    </row>
    <row r="314">
      <c r="A314" s="2" t="inlineStr">
        <is>
          <t>Lebanon</t>
        </is>
      </c>
      <c r="B314" s="2" t="inlineStr">
        <is>
          <t>Ain Wazein Medical Village</t>
        </is>
      </c>
      <c r="C314" s="2" t="inlineStr">
        <is>
          <t>HD stations</t>
        </is>
      </c>
      <c r="D314" s="2" t="inlineStr">
        <is>
          <t>MEDIUM</t>
        </is>
      </c>
      <c r="E314" s="2" t="inlineStr">
        <is>
          <t>Facility-level station count not disclosed in source</t>
        </is>
      </c>
      <c r="F314" s="2" t="inlineStr">
        <is>
          <t>Obtain facility capacity report or licensing record</t>
        </is>
      </c>
      <c r="G314" s="2" t="inlineStr">
        <is>
          <t>Health authority / facility annual report</t>
        </is>
      </c>
      <c r="H314" s="2" t="inlineStr">
        <is>
          <t>NEEDS_VERIFICATION</t>
        </is>
      </c>
    </row>
    <row r="315">
      <c r="A315" s="2" t="inlineStr">
        <is>
          <t>Lebanon</t>
        </is>
      </c>
      <c r="B315" s="2" t="inlineStr">
        <is>
          <t>Ain Wazein Medical Village</t>
        </is>
      </c>
      <c r="C315" s="2" t="inlineStr">
        <is>
          <t>Ownership</t>
        </is>
      </c>
      <c r="D315" s="2" t="inlineStr">
        <is>
          <t>MEDIUM</t>
        </is>
      </c>
      <c r="E315" s="2" t="inlineStr">
        <is>
          <t>Source verifies HD service but not ownership</t>
        </is>
      </c>
      <c r="F315" s="2" t="inlineStr">
        <is>
          <t>Verify ownership from regulator/facility registry</t>
        </is>
      </c>
      <c r="G315" s="2" t="inlineStr">
        <is>
          <t>Health authority facility registry</t>
        </is>
      </c>
      <c r="H315" s="2" t="inlineStr">
        <is>
          <t>NEEDS_VERIFICATION</t>
        </is>
      </c>
    </row>
    <row r="316">
      <c r="A316" s="2" t="inlineStr">
        <is>
          <t>Lebanon</t>
        </is>
      </c>
      <c r="B316" s="2" t="inlineStr">
        <is>
          <t>Ain Wazein Medical Village</t>
        </is>
      </c>
      <c r="C316" s="2" t="inlineStr">
        <is>
          <t>Distributor</t>
        </is>
      </c>
      <c r="D316" s="2" t="inlineStr">
        <is>
          <t>LOW</t>
        </is>
      </c>
      <c r="E316" s="2" t="inlineStr">
        <is>
          <t>No facility-specific distributor relationship verified</t>
        </is>
      </c>
      <c r="F316" s="2" t="inlineStr">
        <is>
          <t>Search procurement awards and supplier lists</t>
        </is>
      </c>
      <c r="G316" s="2" t="inlineStr">
        <is>
          <t>Procurement portal / facility procurement</t>
        </is>
      </c>
      <c r="H316" s="2" t="inlineStr">
        <is>
          <t>NEEDS_VERIFICATION</t>
        </is>
      </c>
    </row>
    <row r="317">
      <c r="A317" s="2" t="inlineStr">
        <is>
          <t>Lebanon</t>
        </is>
      </c>
      <c r="B317" s="2" t="inlineStr">
        <is>
          <t>Ain Wazein Medical Village</t>
        </is>
      </c>
      <c r="C317" s="2" t="inlineStr">
        <is>
          <t>Manufacturer/brand</t>
        </is>
      </c>
      <c r="D317" s="2" t="inlineStr">
        <is>
          <t>LOW</t>
        </is>
      </c>
      <c r="E317" s="2" t="inlineStr">
        <is>
          <t>No facility-specific brand relationship verified</t>
        </is>
      </c>
      <c r="F317" s="2" t="inlineStr">
        <is>
          <t>Search tender awards and catalogues</t>
        </is>
      </c>
      <c r="G317" s="2" t="inlineStr">
        <is>
          <t>Procurement portal / manufacturer</t>
        </is>
      </c>
      <c r="H317" s="2" t="inlineStr">
        <is>
          <t>NEEDS_VERIFICATION</t>
        </is>
      </c>
    </row>
    <row r="318">
      <c r="A318" s="2" t="inlineStr">
        <is>
          <t>Lebanon</t>
        </is>
      </c>
      <c r="B318" s="2" t="inlineStr">
        <is>
          <t>Bhannes Hospital</t>
        </is>
      </c>
      <c r="C318" s="2" t="inlineStr">
        <is>
          <t>HD stations</t>
        </is>
      </c>
      <c r="D318" s="2" t="inlineStr">
        <is>
          <t>MEDIUM</t>
        </is>
      </c>
      <c r="E318" s="2" t="inlineStr">
        <is>
          <t>Facility-level station count not disclosed in source</t>
        </is>
      </c>
      <c r="F318" s="2" t="inlineStr">
        <is>
          <t>Obtain facility capacity report or licensing record</t>
        </is>
      </c>
      <c r="G318" s="2" t="inlineStr">
        <is>
          <t>Health authority / facility annual report</t>
        </is>
      </c>
      <c r="H318" s="2" t="inlineStr">
        <is>
          <t>NEEDS_VERIFICATION</t>
        </is>
      </c>
    </row>
    <row r="319">
      <c r="A319" s="2" t="inlineStr">
        <is>
          <t>Lebanon</t>
        </is>
      </c>
      <c r="B319" s="2" t="inlineStr">
        <is>
          <t>Bhannes Hospital</t>
        </is>
      </c>
      <c r="C319" s="2" t="inlineStr">
        <is>
          <t>Ownership</t>
        </is>
      </c>
      <c r="D319" s="2" t="inlineStr">
        <is>
          <t>MEDIUM</t>
        </is>
      </c>
      <c r="E319" s="2" t="inlineStr">
        <is>
          <t>Source verifies HD service but not ownership</t>
        </is>
      </c>
      <c r="F319" s="2" t="inlineStr">
        <is>
          <t>Verify ownership from regulator/facility registry</t>
        </is>
      </c>
      <c r="G319" s="2" t="inlineStr">
        <is>
          <t>Health authority facility registry</t>
        </is>
      </c>
      <c r="H319" s="2" t="inlineStr">
        <is>
          <t>NEEDS_VERIFICATION</t>
        </is>
      </c>
    </row>
    <row r="320">
      <c r="A320" s="2" t="inlineStr">
        <is>
          <t>Lebanon</t>
        </is>
      </c>
      <c r="B320" s="2" t="inlineStr">
        <is>
          <t>Bhannes Hospital</t>
        </is>
      </c>
      <c r="C320" s="2" t="inlineStr">
        <is>
          <t>Distributor</t>
        </is>
      </c>
      <c r="D320" s="2" t="inlineStr">
        <is>
          <t>LOW</t>
        </is>
      </c>
      <c r="E320" s="2" t="inlineStr">
        <is>
          <t>No facility-specific distributor relationship verified</t>
        </is>
      </c>
      <c r="F320" s="2" t="inlineStr">
        <is>
          <t>Search procurement awards and supplier lists</t>
        </is>
      </c>
      <c r="G320" s="2" t="inlineStr">
        <is>
          <t>Procurement portal / facility procurement</t>
        </is>
      </c>
      <c r="H320" s="2" t="inlineStr">
        <is>
          <t>NEEDS_VERIFICATION</t>
        </is>
      </c>
    </row>
    <row r="321">
      <c r="A321" s="2" t="inlineStr">
        <is>
          <t>Lebanon</t>
        </is>
      </c>
      <c r="B321" s="2" t="inlineStr">
        <is>
          <t>Bhannes Hospital</t>
        </is>
      </c>
      <c r="C321" s="2" t="inlineStr">
        <is>
          <t>Manufacturer/brand</t>
        </is>
      </c>
      <c r="D321" s="2" t="inlineStr">
        <is>
          <t>LOW</t>
        </is>
      </c>
      <c r="E321" s="2" t="inlineStr">
        <is>
          <t>No facility-specific brand relationship verified</t>
        </is>
      </c>
      <c r="F321" s="2" t="inlineStr">
        <is>
          <t>Search tender awards and catalogues</t>
        </is>
      </c>
      <c r="G321" s="2" t="inlineStr">
        <is>
          <t>Procurement portal / manufacturer</t>
        </is>
      </c>
      <c r="H321" s="2" t="inlineStr">
        <is>
          <t>NEEDS_VERIFICATION</t>
        </is>
      </c>
    </row>
    <row r="322">
      <c r="A322" s="2" t="inlineStr">
        <is>
          <t>Lebanon</t>
        </is>
      </c>
      <c r="B322" s="2" t="inlineStr">
        <is>
          <t>Saint George Hospital University Medical Center</t>
        </is>
      </c>
      <c r="C322" s="2" t="inlineStr">
        <is>
          <t>HD stations</t>
        </is>
      </c>
      <c r="D322" s="2" t="inlineStr">
        <is>
          <t>MEDIUM</t>
        </is>
      </c>
      <c r="E322" s="2" t="inlineStr">
        <is>
          <t>Facility-level station count not disclosed in source</t>
        </is>
      </c>
      <c r="F322" s="2" t="inlineStr">
        <is>
          <t>Obtain facility capacity report or licensing record</t>
        </is>
      </c>
      <c r="G322" s="2" t="inlineStr">
        <is>
          <t>Health authority / facility annual report</t>
        </is>
      </c>
      <c r="H322" s="2" t="inlineStr">
        <is>
          <t>NEEDS_VERIFICATION</t>
        </is>
      </c>
    </row>
    <row r="323">
      <c r="A323" s="2" t="inlineStr">
        <is>
          <t>Lebanon</t>
        </is>
      </c>
      <c r="B323" s="2" t="inlineStr">
        <is>
          <t>Saint George Hospital University Medical Center</t>
        </is>
      </c>
      <c r="C323" s="2" t="inlineStr">
        <is>
          <t>Ownership</t>
        </is>
      </c>
      <c r="D323" s="2" t="inlineStr">
        <is>
          <t>MEDIUM</t>
        </is>
      </c>
      <c r="E323" s="2" t="inlineStr">
        <is>
          <t>Source verifies HD service but not ownership</t>
        </is>
      </c>
      <c r="F323" s="2" t="inlineStr">
        <is>
          <t>Verify ownership from regulator/facility registry</t>
        </is>
      </c>
      <c r="G323" s="2" t="inlineStr">
        <is>
          <t>Health authority facility registry</t>
        </is>
      </c>
      <c r="H323" s="2" t="inlineStr">
        <is>
          <t>NEEDS_VERIFICATION</t>
        </is>
      </c>
    </row>
    <row r="324">
      <c r="A324" s="2" t="inlineStr">
        <is>
          <t>Lebanon</t>
        </is>
      </c>
      <c r="B324" s="2" t="inlineStr">
        <is>
          <t>Saint George Hospital University Medical Center</t>
        </is>
      </c>
      <c r="C324" s="2" t="inlineStr">
        <is>
          <t>Distributor</t>
        </is>
      </c>
      <c r="D324" s="2" t="inlineStr">
        <is>
          <t>LOW</t>
        </is>
      </c>
      <c r="E324" s="2" t="inlineStr">
        <is>
          <t>No facility-specific distributor relationship verified</t>
        </is>
      </c>
      <c r="F324" s="2" t="inlineStr">
        <is>
          <t>Search procurement awards and supplier lists</t>
        </is>
      </c>
      <c r="G324" s="2" t="inlineStr">
        <is>
          <t>Procurement portal / facility procurement</t>
        </is>
      </c>
      <c r="H324" s="2" t="inlineStr">
        <is>
          <t>NEEDS_VERIFICATION</t>
        </is>
      </c>
    </row>
    <row r="325">
      <c r="A325" s="2" t="inlineStr">
        <is>
          <t>Lebanon</t>
        </is>
      </c>
      <c r="B325" s="2" t="inlineStr">
        <is>
          <t>Saint George Hospital University Medical Center</t>
        </is>
      </c>
      <c r="C325" s="2" t="inlineStr">
        <is>
          <t>Manufacturer/brand</t>
        </is>
      </c>
      <c r="D325" s="2" t="inlineStr">
        <is>
          <t>LOW</t>
        </is>
      </c>
      <c r="E325" s="2" t="inlineStr">
        <is>
          <t>No facility-specific brand relationship verified</t>
        </is>
      </c>
      <c r="F325" s="2" t="inlineStr">
        <is>
          <t>Search tender awards and catalogues</t>
        </is>
      </c>
      <c r="G325" s="2" t="inlineStr">
        <is>
          <t>Procurement portal / manufacturer</t>
        </is>
      </c>
      <c r="H325" s="2" t="inlineStr">
        <is>
          <t>NEEDS_VERIFICATION</t>
        </is>
      </c>
    </row>
    <row r="326">
      <c r="A326" s="2" t="inlineStr">
        <is>
          <t>Iraq</t>
        </is>
      </c>
      <c r="B326" s="2" t="inlineStr">
        <is>
          <t>Al-Kindy Teaching Hospital</t>
        </is>
      </c>
      <c r="C326" s="2" t="inlineStr">
        <is>
          <t>HD stations</t>
        </is>
      </c>
      <c r="D326" s="2" t="inlineStr">
        <is>
          <t>MEDIUM</t>
        </is>
      </c>
      <c r="E326" s="2" t="inlineStr">
        <is>
          <t>Facility-level station count not disclosed in source</t>
        </is>
      </c>
      <c r="F326" s="2" t="inlineStr">
        <is>
          <t>Obtain facility capacity report or licensing record</t>
        </is>
      </c>
      <c r="G326" s="2" t="inlineStr">
        <is>
          <t>Health authority / facility annual report</t>
        </is>
      </c>
      <c r="H326" s="2" t="inlineStr">
        <is>
          <t>NEEDS_VERIFICATION</t>
        </is>
      </c>
    </row>
    <row r="327">
      <c r="A327" s="2" t="inlineStr">
        <is>
          <t>Iraq</t>
        </is>
      </c>
      <c r="B327" s="2" t="inlineStr">
        <is>
          <t>Al-Kindy Teaching Hospital</t>
        </is>
      </c>
      <c r="C327" s="2" t="inlineStr">
        <is>
          <t>Ownership</t>
        </is>
      </c>
      <c r="D327" s="2" t="inlineStr">
        <is>
          <t>MEDIUM</t>
        </is>
      </c>
      <c r="E327" s="2" t="inlineStr">
        <is>
          <t>Source verifies HD service but not ownership</t>
        </is>
      </c>
      <c r="F327" s="2" t="inlineStr">
        <is>
          <t>Verify ownership from regulator/facility registry</t>
        </is>
      </c>
      <c r="G327" s="2" t="inlineStr">
        <is>
          <t>Health authority facility registry</t>
        </is>
      </c>
      <c r="H327" s="2" t="inlineStr">
        <is>
          <t>NEEDS_VERIFICATION</t>
        </is>
      </c>
    </row>
    <row r="328">
      <c r="A328" s="2" t="inlineStr">
        <is>
          <t>Iraq</t>
        </is>
      </c>
      <c r="B328" s="2" t="inlineStr">
        <is>
          <t>Al-Kindy Teaching Hospital</t>
        </is>
      </c>
      <c r="C328" s="2" t="inlineStr">
        <is>
          <t>Distributor</t>
        </is>
      </c>
      <c r="D328" s="2" t="inlineStr">
        <is>
          <t>LOW</t>
        </is>
      </c>
      <c r="E328" s="2" t="inlineStr">
        <is>
          <t>No facility-specific distributor relationship verified</t>
        </is>
      </c>
      <c r="F328" s="2" t="inlineStr">
        <is>
          <t>Search procurement awards and supplier lists</t>
        </is>
      </c>
      <c r="G328" s="2" t="inlineStr">
        <is>
          <t>Procurement portal / facility procurement</t>
        </is>
      </c>
      <c r="H328" s="2" t="inlineStr">
        <is>
          <t>NEEDS_VERIFICATION</t>
        </is>
      </c>
    </row>
    <row r="329">
      <c r="A329" s="2" t="inlineStr">
        <is>
          <t>Iraq</t>
        </is>
      </c>
      <c r="B329" s="2" t="inlineStr">
        <is>
          <t>Al-Kindy Teaching Hospital</t>
        </is>
      </c>
      <c r="C329" s="2" t="inlineStr">
        <is>
          <t>Manufacturer/brand</t>
        </is>
      </c>
      <c r="D329" s="2" t="inlineStr">
        <is>
          <t>LOW</t>
        </is>
      </c>
      <c r="E329" s="2" t="inlineStr">
        <is>
          <t>No facility-specific brand relationship verified</t>
        </is>
      </c>
      <c r="F329" s="2" t="inlineStr">
        <is>
          <t>Search tender awards and catalogues</t>
        </is>
      </c>
      <c r="G329" s="2" t="inlineStr">
        <is>
          <t>Procurement portal / manufacturer</t>
        </is>
      </c>
      <c r="H329" s="2" t="inlineStr">
        <is>
          <t>NEEDS_VERIFICATION</t>
        </is>
      </c>
    </row>
    <row r="330">
      <c r="A330" s="2" t="inlineStr">
        <is>
          <t>Iraq</t>
        </is>
      </c>
      <c r="B330" s="2" t="inlineStr">
        <is>
          <t>Baghdad Teaching Hospital - Medical City</t>
        </is>
      </c>
      <c r="C330" s="2" t="inlineStr">
        <is>
          <t>HD stations</t>
        </is>
      </c>
      <c r="D330" s="2" t="inlineStr">
        <is>
          <t>MEDIUM</t>
        </is>
      </c>
      <c r="E330" s="2" t="inlineStr">
        <is>
          <t>Facility-level station count not disclosed in source</t>
        </is>
      </c>
      <c r="F330" s="2" t="inlineStr">
        <is>
          <t>Obtain facility capacity report or licensing record</t>
        </is>
      </c>
      <c r="G330" s="2" t="inlineStr">
        <is>
          <t>Health authority / facility annual report</t>
        </is>
      </c>
      <c r="H330" s="2" t="inlineStr">
        <is>
          <t>NEEDS_VERIFICATION</t>
        </is>
      </c>
    </row>
    <row r="331">
      <c r="A331" s="2" t="inlineStr">
        <is>
          <t>Iraq</t>
        </is>
      </c>
      <c r="B331" s="2" t="inlineStr">
        <is>
          <t>Baghdad Teaching Hospital - Medical City</t>
        </is>
      </c>
      <c r="C331" s="2" t="inlineStr">
        <is>
          <t>Ownership</t>
        </is>
      </c>
      <c r="D331" s="2" t="inlineStr">
        <is>
          <t>MEDIUM</t>
        </is>
      </c>
      <c r="E331" s="2" t="inlineStr">
        <is>
          <t>Source verifies HD service but not ownership</t>
        </is>
      </c>
      <c r="F331" s="2" t="inlineStr">
        <is>
          <t>Verify ownership from regulator/facility registry</t>
        </is>
      </c>
      <c r="G331" s="2" t="inlineStr">
        <is>
          <t>Health authority facility registry</t>
        </is>
      </c>
      <c r="H331" s="2" t="inlineStr">
        <is>
          <t>NEEDS_VERIFICATION</t>
        </is>
      </c>
    </row>
    <row r="332">
      <c r="A332" s="2" t="inlineStr">
        <is>
          <t>Iraq</t>
        </is>
      </c>
      <c r="B332" s="2" t="inlineStr">
        <is>
          <t>Baghdad Teaching Hospital - Medical City</t>
        </is>
      </c>
      <c r="C332" s="2" t="inlineStr">
        <is>
          <t>Distributor</t>
        </is>
      </c>
      <c r="D332" s="2" t="inlineStr">
        <is>
          <t>LOW</t>
        </is>
      </c>
      <c r="E332" s="2" t="inlineStr">
        <is>
          <t>No facility-specific distributor relationship verified</t>
        </is>
      </c>
      <c r="F332" s="2" t="inlineStr">
        <is>
          <t>Search procurement awards and supplier lists</t>
        </is>
      </c>
      <c r="G332" s="2" t="inlineStr">
        <is>
          <t>Procurement portal / facility procurement</t>
        </is>
      </c>
      <c r="H332" s="2" t="inlineStr">
        <is>
          <t>NEEDS_VERIFICATION</t>
        </is>
      </c>
    </row>
    <row r="333">
      <c r="A333" s="2" t="inlineStr">
        <is>
          <t>Iraq</t>
        </is>
      </c>
      <c r="B333" s="2" t="inlineStr">
        <is>
          <t>Baghdad Teaching Hospital - Medical City</t>
        </is>
      </c>
      <c r="C333" s="2" t="inlineStr">
        <is>
          <t>Manufacturer/brand</t>
        </is>
      </c>
      <c r="D333" s="2" t="inlineStr">
        <is>
          <t>LOW</t>
        </is>
      </c>
      <c r="E333" s="2" t="inlineStr">
        <is>
          <t>No facility-specific brand relationship verified</t>
        </is>
      </c>
      <c r="F333" s="2" t="inlineStr">
        <is>
          <t>Search tender awards and catalogues</t>
        </is>
      </c>
      <c r="G333" s="2" t="inlineStr">
        <is>
          <t>Procurement portal / manufacturer</t>
        </is>
      </c>
      <c r="H333" s="2" t="inlineStr">
        <is>
          <t>NEEDS_VERIFICATION</t>
        </is>
      </c>
    </row>
    <row r="334">
      <c r="A334" s="2" t="inlineStr">
        <is>
          <t>Iraq</t>
        </is>
      </c>
      <c r="B334" s="2" t="inlineStr">
        <is>
          <t>Alnuman Teaching Hospital</t>
        </is>
      </c>
      <c r="C334" s="2" t="inlineStr">
        <is>
          <t>HD stations</t>
        </is>
      </c>
      <c r="D334" s="2" t="inlineStr">
        <is>
          <t>MEDIUM</t>
        </is>
      </c>
      <c r="E334" s="2" t="inlineStr">
        <is>
          <t>Facility-level station count not disclosed in source</t>
        </is>
      </c>
      <c r="F334" s="2" t="inlineStr">
        <is>
          <t>Obtain facility capacity report or licensing record</t>
        </is>
      </c>
      <c r="G334" s="2" t="inlineStr">
        <is>
          <t>Health authority / facility annual report</t>
        </is>
      </c>
      <c r="H334" s="2" t="inlineStr">
        <is>
          <t>NEEDS_VERIFICATION</t>
        </is>
      </c>
    </row>
    <row r="335">
      <c r="A335" s="2" t="inlineStr">
        <is>
          <t>Iraq</t>
        </is>
      </c>
      <c r="B335" s="2" t="inlineStr">
        <is>
          <t>Alnuman Teaching Hospital</t>
        </is>
      </c>
      <c r="C335" s="2" t="inlineStr">
        <is>
          <t>Ownership</t>
        </is>
      </c>
      <c r="D335" s="2" t="inlineStr">
        <is>
          <t>MEDIUM</t>
        </is>
      </c>
      <c r="E335" s="2" t="inlineStr">
        <is>
          <t>Source verifies HD service but not ownership</t>
        </is>
      </c>
      <c r="F335" s="2" t="inlineStr">
        <is>
          <t>Verify ownership from regulator/facility registry</t>
        </is>
      </c>
      <c r="G335" s="2" t="inlineStr">
        <is>
          <t>Health authority facility registry</t>
        </is>
      </c>
      <c r="H335" s="2" t="inlineStr">
        <is>
          <t>NEEDS_VERIFICATION</t>
        </is>
      </c>
    </row>
    <row r="336">
      <c r="A336" s="2" t="inlineStr">
        <is>
          <t>Iraq</t>
        </is>
      </c>
      <c r="B336" s="2" t="inlineStr">
        <is>
          <t>Alnuman Teaching Hospital</t>
        </is>
      </c>
      <c r="C336" s="2" t="inlineStr">
        <is>
          <t>Distributor</t>
        </is>
      </c>
      <c r="D336" s="2" t="inlineStr">
        <is>
          <t>LOW</t>
        </is>
      </c>
      <c r="E336" s="2" t="inlineStr">
        <is>
          <t>No facility-specific distributor relationship verified</t>
        </is>
      </c>
      <c r="F336" s="2" t="inlineStr">
        <is>
          <t>Search procurement awards and supplier lists</t>
        </is>
      </c>
      <c r="G336" s="2" t="inlineStr">
        <is>
          <t>Procurement portal / facility procurement</t>
        </is>
      </c>
      <c r="H336" s="2" t="inlineStr">
        <is>
          <t>NEEDS_VERIFICATION</t>
        </is>
      </c>
    </row>
    <row r="337">
      <c r="A337" s="2" t="inlineStr">
        <is>
          <t>Iraq</t>
        </is>
      </c>
      <c r="B337" s="2" t="inlineStr">
        <is>
          <t>Alnuman Teaching Hospital</t>
        </is>
      </c>
      <c r="C337" s="2" t="inlineStr">
        <is>
          <t>Manufacturer/brand</t>
        </is>
      </c>
      <c r="D337" s="2" t="inlineStr">
        <is>
          <t>LOW</t>
        </is>
      </c>
      <c r="E337" s="2" t="inlineStr">
        <is>
          <t>No facility-specific brand relationship verified</t>
        </is>
      </c>
      <c r="F337" s="2" t="inlineStr">
        <is>
          <t>Search tender awards and catalogues</t>
        </is>
      </c>
      <c r="G337" s="2" t="inlineStr">
        <is>
          <t>Procurement portal / manufacturer</t>
        </is>
      </c>
      <c r="H337" s="2" t="inlineStr">
        <is>
          <t>NEEDS_VERIFICATION</t>
        </is>
      </c>
    </row>
    <row r="338">
      <c r="A338" s="2" t="inlineStr">
        <is>
          <t>Iraq</t>
        </is>
      </c>
      <c r="B338" s="2" t="inlineStr">
        <is>
          <t>Child Welfare Teaching Hospital</t>
        </is>
      </c>
      <c r="C338" s="2" t="inlineStr">
        <is>
          <t>HD stations</t>
        </is>
      </c>
      <c r="D338" s="2" t="inlineStr">
        <is>
          <t>MEDIUM</t>
        </is>
      </c>
      <c r="E338" s="2" t="inlineStr">
        <is>
          <t>Facility-level station count not disclosed in source</t>
        </is>
      </c>
      <c r="F338" s="2" t="inlineStr">
        <is>
          <t>Obtain facility capacity report or licensing record</t>
        </is>
      </c>
      <c r="G338" s="2" t="inlineStr">
        <is>
          <t>Health authority / facility annual report</t>
        </is>
      </c>
      <c r="H338" s="2" t="inlineStr">
        <is>
          <t>NEEDS_VERIFICATION</t>
        </is>
      </c>
    </row>
    <row r="339">
      <c r="A339" s="2" t="inlineStr">
        <is>
          <t>Iraq</t>
        </is>
      </c>
      <c r="B339" s="2" t="inlineStr">
        <is>
          <t>Child Welfare Teaching Hospital</t>
        </is>
      </c>
      <c r="C339" s="2" t="inlineStr">
        <is>
          <t>Ownership</t>
        </is>
      </c>
      <c r="D339" s="2" t="inlineStr">
        <is>
          <t>MEDIUM</t>
        </is>
      </c>
      <c r="E339" s="2" t="inlineStr">
        <is>
          <t>Source verifies HD service but not ownership</t>
        </is>
      </c>
      <c r="F339" s="2" t="inlineStr">
        <is>
          <t>Verify ownership from regulator/facility registry</t>
        </is>
      </c>
      <c r="G339" s="2" t="inlineStr">
        <is>
          <t>Health authority facility registry</t>
        </is>
      </c>
      <c r="H339" s="2" t="inlineStr">
        <is>
          <t>NEEDS_VERIFICATION</t>
        </is>
      </c>
    </row>
    <row r="340">
      <c r="A340" s="2" t="inlineStr">
        <is>
          <t>Iraq</t>
        </is>
      </c>
      <c r="B340" s="2" t="inlineStr">
        <is>
          <t>Child Welfare Teaching Hospital</t>
        </is>
      </c>
      <c r="C340" s="2" t="inlineStr">
        <is>
          <t>Distributor</t>
        </is>
      </c>
      <c r="D340" s="2" t="inlineStr">
        <is>
          <t>LOW</t>
        </is>
      </c>
      <c r="E340" s="2" t="inlineStr">
        <is>
          <t>No facility-specific distributor relationship verified</t>
        </is>
      </c>
      <c r="F340" s="2" t="inlineStr">
        <is>
          <t>Search procurement awards and supplier lists</t>
        </is>
      </c>
      <c r="G340" s="2" t="inlineStr">
        <is>
          <t>Procurement portal / facility procurement</t>
        </is>
      </c>
      <c r="H340" s="2" t="inlineStr">
        <is>
          <t>NEEDS_VERIFICATION</t>
        </is>
      </c>
    </row>
    <row r="341">
      <c r="A341" s="2" t="inlineStr">
        <is>
          <t>Iraq</t>
        </is>
      </c>
      <c r="B341" s="2" t="inlineStr">
        <is>
          <t>Child Welfare Teaching Hospital</t>
        </is>
      </c>
      <c r="C341" s="2" t="inlineStr">
        <is>
          <t>Manufacturer/brand</t>
        </is>
      </c>
      <c r="D341" s="2" t="inlineStr">
        <is>
          <t>LOW</t>
        </is>
      </c>
      <c r="E341" s="2" t="inlineStr">
        <is>
          <t>No facility-specific brand relationship verified</t>
        </is>
      </c>
      <c r="F341" s="2" t="inlineStr">
        <is>
          <t>Search tender awards and catalogues</t>
        </is>
      </c>
      <c r="G341" s="2" t="inlineStr">
        <is>
          <t>Procurement portal / manufacturer</t>
        </is>
      </c>
      <c r="H341" s="2" t="inlineStr">
        <is>
          <t>NEEDS_VERIFICATION</t>
        </is>
      </c>
    </row>
    <row r="342">
      <c r="A342" s="2" t="inlineStr">
        <is>
          <t>Iraq</t>
        </is>
      </c>
      <c r="B342" s="2" t="inlineStr">
        <is>
          <t>University of Baghdad Nephrology and Renal Transplantation Center</t>
        </is>
      </c>
      <c r="C342" s="2" t="inlineStr">
        <is>
          <t>HD stations</t>
        </is>
      </c>
      <c r="D342" s="2" t="inlineStr">
        <is>
          <t>MEDIUM</t>
        </is>
      </c>
      <c r="E342" s="2" t="inlineStr">
        <is>
          <t>Facility-level station count not disclosed in source</t>
        </is>
      </c>
      <c r="F342" s="2" t="inlineStr">
        <is>
          <t>Obtain facility capacity report or licensing record</t>
        </is>
      </c>
      <c r="G342" s="2" t="inlineStr">
        <is>
          <t>Health authority / facility annual report</t>
        </is>
      </c>
      <c r="H342" s="2" t="inlineStr">
        <is>
          <t>NEEDS_VERIFICATION</t>
        </is>
      </c>
    </row>
    <row r="343">
      <c r="A343" s="2" t="inlineStr">
        <is>
          <t>Iraq</t>
        </is>
      </c>
      <c r="B343" s="2" t="inlineStr">
        <is>
          <t>University of Baghdad Nephrology and Renal Transplantation Center</t>
        </is>
      </c>
      <c r="C343" s="2" t="inlineStr">
        <is>
          <t>Ownership</t>
        </is>
      </c>
      <c r="D343" s="2" t="inlineStr">
        <is>
          <t>MEDIUM</t>
        </is>
      </c>
      <c r="E343" s="2" t="inlineStr">
        <is>
          <t>Source verifies HD service but not ownership</t>
        </is>
      </c>
      <c r="F343" s="2" t="inlineStr">
        <is>
          <t>Verify ownership from regulator/facility registry</t>
        </is>
      </c>
      <c r="G343" s="2" t="inlineStr">
        <is>
          <t>Health authority facility registry</t>
        </is>
      </c>
      <c r="H343" s="2" t="inlineStr">
        <is>
          <t>NEEDS_VERIFICATION</t>
        </is>
      </c>
    </row>
    <row r="344">
      <c r="A344" s="2" t="inlineStr">
        <is>
          <t>Iraq</t>
        </is>
      </c>
      <c r="B344" s="2" t="inlineStr">
        <is>
          <t>University of Baghdad Nephrology and Renal Transplantation Center</t>
        </is>
      </c>
      <c r="C344" s="2" t="inlineStr">
        <is>
          <t>Distributor</t>
        </is>
      </c>
      <c r="D344" s="2" t="inlineStr">
        <is>
          <t>LOW</t>
        </is>
      </c>
      <c r="E344" s="2" t="inlineStr">
        <is>
          <t>No facility-specific distributor relationship verified</t>
        </is>
      </c>
      <c r="F344" s="2" t="inlineStr">
        <is>
          <t>Search procurement awards and supplier lists</t>
        </is>
      </c>
      <c r="G344" s="2" t="inlineStr">
        <is>
          <t>Procurement portal / facility procurement</t>
        </is>
      </c>
      <c r="H344" s="2" t="inlineStr">
        <is>
          <t>NEEDS_VERIFICATION</t>
        </is>
      </c>
    </row>
    <row r="345">
      <c r="A345" s="2" t="inlineStr">
        <is>
          <t>Iraq</t>
        </is>
      </c>
      <c r="B345" s="2" t="inlineStr">
        <is>
          <t>University of Baghdad Nephrology and Renal Transplantation Center</t>
        </is>
      </c>
      <c r="C345" s="2" t="inlineStr">
        <is>
          <t>Manufacturer/brand</t>
        </is>
      </c>
      <c r="D345" s="2" t="inlineStr">
        <is>
          <t>LOW</t>
        </is>
      </c>
      <c r="E345" s="2" t="inlineStr">
        <is>
          <t>No facility-specific brand relationship verified</t>
        </is>
      </c>
      <c r="F345" s="2" t="inlineStr">
        <is>
          <t>Search tender awards and catalogues</t>
        </is>
      </c>
      <c r="G345" s="2" t="inlineStr">
        <is>
          <t>Procurement portal / manufacturer</t>
        </is>
      </c>
      <c r="H345" s="2" t="inlineStr">
        <is>
          <t>NEEDS_VERIFICATION</t>
        </is>
      </c>
    </row>
  </sheetData>
  <autoFilter ref="A1:H345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tabColor rgb="0070AD47"/>
    <outlinePr summaryBelow="1" summaryRight="1"/>
    <pageSetUpPr/>
  </sheetPr>
  <dimension ref="A1:K13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5" customWidth="1" min="3" max="3"/>
    <col width="45" customWidth="1" min="4" max="4"/>
    <col width="37" customWidth="1" min="5" max="5"/>
    <col width="35" customWidth="1" min="6" max="6"/>
    <col width="18" customWidth="1" min="7" max="7"/>
    <col width="45" customWidth="1" min="8" max="8"/>
    <col width="16" customWidth="1" min="9" max="9"/>
    <col width="45" customWidth="1" min="10" max="10"/>
    <col width="13" customWidth="1" min="11" max="11"/>
  </cols>
  <sheetData>
    <row r="1">
      <c r="A1" s="8" t="inlineStr">
        <is>
          <t>Source_ID</t>
        </is>
      </c>
      <c r="B1" s="8" t="inlineStr">
        <is>
          <t>Country</t>
        </is>
      </c>
      <c r="C1" s="8" t="inlineStr">
        <is>
          <t>Facility_Name</t>
        </is>
      </c>
      <c r="D1" s="8" t="inlineStr">
        <is>
          <t>Source_Name</t>
        </is>
      </c>
      <c r="E1" s="8" t="inlineStr">
        <is>
          <t>Publisher</t>
        </is>
      </c>
      <c r="F1" s="8" t="inlineStr">
        <is>
          <t>Source_Type</t>
        </is>
      </c>
      <c r="G1" s="8" t="inlineStr">
        <is>
          <t>Publication_Date</t>
        </is>
      </c>
      <c r="H1" s="8" t="inlineStr">
        <is>
          <t>Source_URL</t>
        </is>
      </c>
      <c r="I1" s="8" t="inlineStr">
        <is>
          <t>Evidence_Level</t>
        </is>
      </c>
      <c r="J1" s="8" t="inlineStr">
        <is>
          <t>What_It_Supports</t>
        </is>
      </c>
      <c r="K1" s="8" t="inlineStr">
        <is>
          <t>Access_Date</t>
        </is>
      </c>
    </row>
    <row r="2">
      <c r="A2" s="2" t="inlineStr">
        <is>
          <t>SRC-WEB-003</t>
        </is>
      </c>
      <c r="B2" s="2" t="inlineStr">
        <is>
          <t>Saudi Arabia</t>
        </is>
      </c>
      <c r="C2" s="2" t="inlineStr">
        <is>
          <t>King Salman Center for Kidney Diseases</t>
        </is>
      </c>
      <c r="D2" s="2" t="inlineStr">
        <is>
          <t>King Salman Center for Kidney Diseases: over 52,000 Hemodialysis Sessions in a Year</t>
        </is>
      </c>
      <c r="E2" s="2" t="inlineStr">
        <is>
          <t>Saudi Ministry of Health</t>
        </is>
      </c>
      <c r="F2" s="2" t="inlineStr">
        <is>
          <t>Government report/news</t>
        </is>
      </c>
      <c r="G2" s="2" t="inlineStr">
        <is>
          <t>2017-10-15</t>
        </is>
      </c>
      <c r="H2" s="2" t="inlineStr">
        <is>
          <t>https://www.moh.gov.sa/en/ministry/mediacenter/news/pages/news-2017-10-15-001.aspx</t>
        </is>
      </c>
      <c r="I2" s="2" t="inlineStr">
        <is>
          <t>OBSERVED</t>
        </is>
      </c>
      <c r="J2" s="2" t="inlineStr">
        <is>
          <t>King Salman Kidney Center HD activity</t>
        </is>
      </c>
      <c r="K2" s="2" t="inlineStr">
        <is>
          <t>2026-08-10</t>
        </is>
      </c>
    </row>
    <row r="3">
      <c r="A3" s="2" t="inlineStr">
        <is>
          <t>SRC-WEB-009</t>
        </is>
      </c>
      <c r="B3" s="2" t="inlineStr">
        <is>
          <t>Saudi Arabia</t>
        </is>
      </c>
      <c r="C3" s="2" t="inlineStr">
        <is>
          <t>Prince Mohammed bin Abdul Aziz Hospital Dialysis Unit</t>
        </is>
      </c>
      <c r="D3" s="2" t="inlineStr">
        <is>
          <t>Prince Mohammed bin Abdul Aziz Hospital dialysis unit</t>
        </is>
      </c>
      <c r="E3" s="2" t="inlineStr">
        <is>
          <t>Saudi Ministry of Health</t>
        </is>
      </c>
      <c r="F3" s="2" t="inlineStr">
        <is>
          <t>Government report/news</t>
        </is>
      </c>
      <c r="G3" s="2" t="inlineStr">
        <is>
          <t>2014-11-18</t>
        </is>
      </c>
      <c r="H3" s="2" t="inlineStr">
        <is>
          <t>https://www.moh.gov.sa/en/ministry/mediacenter/news/pages/news-2014-11-18-002.aspx</t>
        </is>
      </c>
      <c r="I3" s="2" t="inlineStr">
        <is>
          <t>OBSERVED</t>
        </is>
      </c>
      <c r="J3" s="2" t="inlineStr">
        <is>
          <t>Hospital dialysis unit and Diaverum collaboration</t>
        </is>
      </c>
      <c r="K3" s="2" t="inlineStr">
        <is>
          <t>2026-08-10</t>
        </is>
      </c>
    </row>
    <row r="4">
      <c r="A4" s="2" t="inlineStr">
        <is>
          <t>SRC-WEB-002</t>
        </is>
      </c>
      <c r="B4" s="2" t="inlineStr">
        <is>
          <t>Saudi Arabia</t>
        </is>
      </c>
      <c r="C4" s="2" t="inlineStr">
        <is>
          <t>Prince Abdul Majeed Dialysis Centre</t>
        </is>
      </c>
      <c r="D4" s="2" t="inlineStr">
        <is>
          <t>MOH Observes World Kidney Day</t>
        </is>
      </c>
      <c r="E4" s="2" t="inlineStr">
        <is>
          <t>Saudi Ministry of Health</t>
        </is>
      </c>
      <c r="F4" s="2" t="inlineStr">
        <is>
          <t>Government news/statistics</t>
        </is>
      </c>
      <c r="G4" s="2" t="inlineStr">
        <is>
          <t>2021-03-11</t>
        </is>
      </c>
      <c r="H4" s="2" t="inlineStr">
        <is>
          <t>https://www.moh.gov.sa/en/ministry/mediacenter/news/pages/news-2021-03-11-001.aspx</t>
        </is>
      </c>
      <c r="I4" s="2" t="inlineStr">
        <is>
          <t>OBSERVED</t>
        </is>
      </c>
      <c r="J4" s="2" t="inlineStr">
        <is>
          <t>MOH dialysis centers, dialysis sessions and named renal units/centers</t>
        </is>
      </c>
      <c r="K4" s="2" t="inlineStr">
        <is>
          <t>2026-08-10</t>
        </is>
      </c>
    </row>
    <row r="5">
      <c r="A5" s="2" t="inlineStr">
        <is>
          <t>SRC-WEB-002</t>
        </is>
      </c>
      <c r="B5" s="2" t="inlineStr">
        <is>
          <t>Saudi Arabia</t>
        </is>
      </c>
      <c r="C5" s="2" t="inlineStr">
        <is>
          <t>Renal Unit, Long-Term Care Hospital (Ar-Riayah Al-Madidah)</t>
        </is>
      </c>
      <c r="D5" s="2" t="inlineStr">
        <is>
          <t>MOH Observes World Kidney Day</t>
        </is>
      </c>
      <c r="E5" s="2" t="inlineStr">
        <is>
          <t>Saudi Ministry of Health</t>
        </is>
      </c>
      <c r="F5" s="2" t="inlineStr">
        <is>
          <t>Government news/statistics</t>
        </is>
      </c>
      <c r="G5" s="2" t="inlineStr">
        <is>
          <t>2021-03-11</t>
        </is>
      </c>
      <c r="H5" s="2" t="inlineStr">
        <is>
          <t>https://www.moh.gov.sa/en/ministry/mediacenter/news/pages/news-2021-03-11-001.aspx</t>
        </is>
      </c>
      <c r="I5" s="2" t="inlineStr">
        <is>
          <t>OBSERVED</t>
        </is>
      </c>
      <c r="J5" s="2" t="inlineStr">
        <is>
          <t>MOH dialysis centers, dialysis sessions and named renal units/centers</t>
        </is>
      </c>
      <c r="K5" s="2" t="inlineStr">
        <is>
          <t>2026-08-10</t>
        </is>
      </c>
    </row>
    <row r="6">
      <c r="A6" s="2" t="inlineStr">
        <is>
          <t>SRC-WEB-002</t>
        </is>
      </c>
      <c r="B6" s="2" t="inlineStr">
        <is>
          <t>Saudi Arabia</t>
        </is>
      </c>
      <c r="C6" s="2" t="inlineStr">
        <is>
          <t>Renal Unit, A Rafidah General Hospital</t>
        </is>
      </c>
      <c r="D6" s="2" t="inlineStr">
        <is>
          <t>MOH Observes World Kidney Day</t>
        </is>
      </c>
      <c r="E6" s="2" t="inlineStr">
        <is>
          <t>Saudi Ministry of Health</t>
        </is>
      </c>
      <c r="F6" s="2" t="inlineStr">
        <is>
          <t>Government news/statistics</t>
        </is>
      </c>
      <c r="G6" s="2" t="inlineStr">
        <is>
          <t>2021-03-11</t>
        </is>
      </c>
      <c r="H6" s="2" t="inlineStr">
        <is>
          <t>https://www.moh.gov.sa/en/ministry/mediacenter/news/pages/news-2021-03-11-001.aspx</t>
        </is>
      </c>
      <c r="I6" s="2" t="inlineStr">
        <is>
          <t>OBSERVED</t>
        </is>
      </c>
      <c r="J6" s="2" t="inlineStr">
        <is>
          <t>MOH dialysis centers, dialysis sessions and named renal units/centers</t>
        </is>
      </c>
      <c r="K6" s="2" t="inlineStr">
        <is>
          <t>2026-08-10</t>
        </is>
      </c>
    </row>
    <row r="7">
      <c r="A7" s="2" t="inlineStr">
        <is>
          <t>SRC-WEB-002</t>
        </is>
      </c>
      <c r="B7" s="2" t="inlineStr">
        <is>
          <t>Saudi Arabia</t>
        </is>
      </c>
      <c r="C7" s="2" t="inlineStr">
        <is>
          <t>Renal Center at Muhayil Assir</t>
        </is>
      </c>
      <c r="D7" s="2" t="inlineStr">
        <is>
          <t>MOH Observes World Kidney Day</t>
        </is>
      </c>
      <c r="E7" s="2" t="inlineStr">
        <is>
          <t>Saudi Ministry of Health</t>
        </is>
      </c>
      <c r="F7" s="2" t="inlineStr">
        <is>
          <t>Government news/statistics</t>
        </is>
      </c>
      <c r="G7" s="2" t="inlineStr">
        <is>
          <t>2021-03-11</t>
        </is>
      </c>
      <c r="H7" s="2" t="inlineStr">
        <is>
          <t>https://www.moh.gov.sa/en/ministry/mediacenter/news/pages/news-2021-03-11-001.aspx</t>
        </is>
      </c>
      <c r="I7" s="2" t="inlineStr">
        <is>
          <t>OBSERVED</t>
        </is>
      </c>
      <c r="J7" s="2" t="inlineStr">
        <is>
          <t>MOH dialysis centers, dialysis sessions and named renal units/centers</t>
        </is>
      </c>
      <c r="K7" s="2" t="inlineStr">
        <is>
          <t>2026-08-10</t>
        </is>
      </c>
    </row>
    <row r="8">
      <c r="A8" s="2" t="inlineStr">
        <is>
          <t>SRC-WEB-002</t>
        </is>
      </c>
      <c r="B8" s="2" t="inlineStr">
        <is>
          <t>Saudi Arabia</t>
        </is>
      </c>
      <c r="C8" s="2" t="inlineStr">
        <is>
          <t>King Fahad Center for Kidney, King Saud Medical City</t>
        </is>
      </c>
      <c r="D8" s="2" t="inlineStr">
        <is>
          <t>MOH Observes World Kidney Day</t>
        </is>
      </c>
      <c r="E8" s="2" t="inlineStr">
        <is>
          <t>Saudi Ministry of Health</t>
        </is>
      </c>
      <c r="F8" s="2" t="inlineStr">
        <is>
          <t>Government news/statistics</t>
        </is>
      </c>
      <c r="G8" s="2" t="inlineStr">
        <is>
          <t>2021-03-11</t>
        </is>
      </c>
      <c r="H8" s="2" t="inlineStr">
        <is>
          <t>https://www.moh.gov.sa/en/ministry/mediacenter/news/pages/news-2021-03-11-001.aspx</t>
        </is>
      </c>
      <c r="I8" s="2" t="inlineStr">
        <is>
          <t>OBSERVED</t>
        </is>
      </c>
      <c r="J8" s="2" t="inlineStr">
        <is>
          <t>MOH dialysis centers, dialysis sessions and named renal units/centers</t>
        </is>
      </c>
      <c r="K8" s="2" t="inlineStr">
        <is>
          <t>2026-08-10</t>
        </is>
      </c>
    </row>
    <row r="9">
      <c r="A9" s="2" t="inlineStr">
        <is>
          <t>SRC-WEB-004</t>
        </is>
      </c>
      <c r="B9" s="2" t="inlineStr">
        <is>
          <t>Saudi Arabia</t>
        </is>
      </c>
      <c r="C9" s="2" t="inlineStr">
        <is>
          <t>King Abdulaziz Kidney Center, King Fahad General Hospital - Madinah</t>
        </is>
      </c>
      <c r="D9" s="2" t="inlineStr">
        <is>
          <t>King Abdulaziz Kidney Center - Madinah</t>
        </is>
      </c>
      <c r="E9" s="2" t="inlineStr">
        <is>
          <t>Saudi Ministry of Health</t>
        </is>
      </c>
      <c r="F9" s="2" t="inlineStr">
        <is>
          <t>Government report/news</t>
        </is>
      </c>
      <c r="G9" s="2" t="inlineStr">
        <is>
          <t>2018-03-29</t>
        </is>
      </c>
      <c r="H9" s="2" t="inlineStr">
        <is>
          <t>https://www.moh.gov.sa/en/ministry/mediacenter/news/pages/news-2018-03-29-004.aspx</t>
        </is>
      </c>
      <c r="I9" s="2" t="inlineStr">
        <is>
          <t>OBSERVED</t>
        </is>
      </c>
      <c r="J9" s="2" t="inlineStr">
        <is>
          <t>King Abdulaziz Kidney Center dialysis activity and capacity</t>
        </is>
      </c>
      <c r="K9" s="2" t="inlineStr">
        <is>
          <t>2026-08-10</t>
        </is>
      </c>
    </row>
    <row r="10">
      <c r="A10" s="2" t="inlineStr">
        <is>
          <t>SRC-WEB-005</t>
        </is>
      </c>
      <c r="B10" s="2" t="inlineStr">
        <is>
          <t>Saudi Arabia</t>
        </is>
      </c>
      <c r="C10" s="2" t="inlineStr">
        <is>
          <t>Al-Dammam Medical Complex</t>
        </is>
      </c>
      <c r="D10" s="2" t="inlineStr">
        <is>
          <t>Eastern Region hospitals dialysis activity</t>
        </is>
      </c>
      <c r="E10" s="2" t="inlineStr">
        <is>
          <t>Saudi Ministry of Health</t>
        </is>
      </c>
      <c r="F10" s="2" t="inlineStr">
        <is>
          <t>Government report/news</t>
        </is>
      </c>
      <c r="G10" s="2" t="inlineStr">
        <is>
          <t>2018-01-10</t>
        </is>
      </c>
      <c r="H10" s="2" t="inlineStr">
        <is>
          <t>https://www.moh.gov.sa/en/ministry/mediacenter/news/pages/news-2018-01-10-007.aspx</t>
        </is>
      </c>
      <c r="I10" s="2" t="inlineStr">
        <is>
          <t>OBSERVED</t>
        </is>
      </c>
      <c r="J10" s="2" t="inlineStr">
        <is>
          <t>Al-Dammam Medical Complex and Al-Qatif Central Hospital dialysis activity</t>
        </is>
      </c>
      <c r="K10" s="2" t="inlineStr">
        <is>
          <t>2026-08-10</t>
        </is>
      </c>
    </row>
    <row r="11">
      <c r="A11" s="2" t="inlineStr">
        <is>
          <t>SRC-WEB-005</t>
        </is>
      </c>
      <c r="B11" s="2" t="inlineStr">
        <is>
          <t>Saudi Arabia</t>
        </is>
      </c>
      <c r="C11" s="2" t="inlineStr">
        <is>
          <t>Al-Qatif Central Hospital</t>
        </is>
      </c>
      <c r="D11" s="2" t="inlineStr">
        <is>
          <t>Eastern Region hospitals dialysis activity</t>
        </is>
      </c>
      <c r="E11" s="2" t="inlineStr">
        <is>
          <t>Saudi Ministry of Health</t>
        </is>
      </c>
      <c r="F11" s="2" t="inlineStr">
        <is>
          <t>Government report/news</t>
        </is>
      </c>
      <c r="G11" s="2" t="inlineStr">
        <is>
          <t>2018-01-10</t>
        </is>
      </c>
      <c r="H11" s="2" t="inlineStr">
        <is>
          <t>https://www.moh.gov.sa/en/ministry/mediacenter/news/pages/news-2018-01-10-007.aspx</t>
        </is>
      </c>
      <c r="I11" s="2" t="inlineStr">
        <is>
          <t>OBSERVED</t>
        </is>
      </c>
      <c r="J11" s="2" t="inlineStr">
        <is>
          <t>Al-Dammam Medical Complex and Al-Qatif Central Hospital dialysis activity</t>
        </is>
      </c>
      <c r="K11" s="2" t="inlineStr">
        <is>
          <t>2026-08-10</t>
        </is>
      </c>
    </row>
    <row r="12">
      <c r="A12" s="2" t="inlineStr">
        <is>
          <t>SRC-WEB-006</t>
        </is>
      </c>
      <c r="B12" s="2" t="inlineStr">
        <is>
          <t>Saudi Arabia</t>
        </is>
      </c>
      <c r="C12" s="2" t="inlineStr">
        <is>
          <t>Rowaidat Al-Ardh Hospital</t>
        </is>
      </c>
      <c r="D12" s="2" t="inlineStr">
        <is>
          <t>Riyadh: Rowaidat Al-Ardh Hospital dialysis sessions</t>
        </is>
      </c>
      <c r="E12" s="2" t="inlineStr">
        <is>
          <t>Saudi Ministry of Health</t>
        </is>
      </c>
      <c r="F12" s="2" t="inlineStr">
        <is>
          <t>Government report/news</t>
        </is>
      </c>
      <c r="G12" s="2" t="inlineStr">
        <is>
          <t>2018-07-01</t>
        </is>
      </c>
      <c r="H12" s="2" t="inlineStr">
        <is>
          <t>https://www.moh.gov.sa/en/ministry/mediacenter/news/pages/news-2018-01-07-0004.aspx</t>
        </is>
      </c>
      <c r="I12" s="2" t="inlineStr">
        <is>
          <t>OBSERVED</t>
        </is>
      </c>
      <c r="J12" s="2" t="inlineStr">
        <is>
          <t>Rowaidat Al-Ardh Hospital dialysis activity</t>
        </is>
      </c>
      <c r="K12" s="2" t="inlineStr">
        <is>
          <t>2026-08-10</t>
        </is>
      </c>
    </row>
    <row r="13">
      <c r="A13" s="2" t="inlineStr">
        <is>
          <t>SRC-WEB-007</t>
        </is>
      </c>
      <c r="B13" s="2" t="inlineStr">
        <is>
          <t>Saudi Arabia</t>
        </is>
      </c>
      <c r="C13" s="2" t="inlineStr">
        <is>
          <t>Al-Rain General Hospital Kidney Center</t>
        </is>
      </c>
      <c r="D13" s="2" t="inlineStr">
        <is>
          <t>Riyadh health projects / kidney center</t>
        </is>
      </c>
      <c r="E13" s="2" t="inlineStr">
        <is>
          <t>Saudi Ministry of Health</t>
        </is>
      </c>
      <c r="F13" s="2" t="inlineStr">
        <is>
          <t>Government report/news</t>
        </is>
      </c>
      <c r="G13" s="2" t="inlineStr">
        <is>
          <t>2025-04-13</t>
        </is>
      </c>
      <c r="H13" s="2" t="inlineStr">
        <is>
          <t>https://www.moh.gov.sa/en/ministry/mediacenter/news/pages/news-2025-04-13-002.aspx</t>
        </is>
      </c>
      <c r="I13" s="2" t="inlineStr">
        <is>
          <t>OBSERVED</t>
        </is>
      </c>
      <c r="J13" s="2" t="inlineStr">
        <is>
          <t>Al-Qassim Charitable Complex kidney dialysis chairs and Al-Aflaj kidney center</t>
        </is>
      </c>
      <c r="K13" s="2" t="inlineStr">
        <is>
          <t>2026-08-10</t>
        </is>
      </c>
    </row>
    <row r="14">
      <c r="A14" s="2" t="inlineStr">
        <is>
          <t>SRC-WEB-007</t>
        </is>
      </c>
      <c r="B14" s="2" t="inlineStr">
        <is>
          <t>Saudi Arabia</t>
        </is>
      </c>
      <c r="C14" s="2" t="inlineStr">
        <is>
          <t>Al-Qassim Charitable Complex for Kidney Dialysis and Dentistry</t>
        </is>
      </c>
      <c r="D14" s="2" t="inlineStr">
        <is>
          <t>Riyadh health projects / kidney center</t>
        </is>
      </c>
      <c r="E14" s="2" t="inlineStr">
        <is>
          <t>Saudi Ministry of Health</t>
        </is>
      </c>
      <c r="F14" s="2" t="inlineStr">
        <is>
          <t>Government report/news</t>
        </is>
      </c>
      <c r="G14" s="2" t="inlineStr">
        <is>
          <t>2025-04-13</t>
        </is>
      </c>
      <c r="H14" s="2" t="inlineStr">
        <is>
          <t>https://www.moh.gov.sa/en/ministry/mediacenter/news/pages/news-2025-04-13-002.aspx</t>
        </is>
      </c>
      <c r="I14" s="2" t="inlineStr">
        <is>
          <t>OBSERVED</t>
        </is>
      </c>
      <c r="J14" s="2" t="inlineStr">
        <is>
          <t>Al-Qassim Charitable Complex kidney dialysis chairs and Al-Aflaj kidney center</t>
        </is>
      </c>
      <c r="K14" s="2" t="inlineStr">
        <is>
          <t>2026-08-10</t>
        </is>
      </c>
    </row>
    <row r="15">
      <c r="A15" s="2" t="inlineStr">
        <is>
          <t>SRC-WEB-013</t>
        </is>
      </c>
      <c r="B15" s="2" t="inlineStr">
        <is>
          <t>UAE</t>
        </is>
      </c>
      <c r="C15" s="2" t="inlineStr">
        <is>
          <t>Merrimac Dialysis Center</t>
        </is>
      </c>
      <c r="D15" s="2" t="inlineStr">
        <is>
          <t>Merrimac Dialysis Center facility details</t>
        </is>
      </c>
      <c r="E15" s="2" t="inlineStr">
        <is>
          <t>Dubai Health Authority</t>
        </is>
      </c>
      <c r="F15" s="2" t="inlineStr">
        <is>
          <t>Government medical directory</t>
        </is>
      </c>
      <c r="G15" s="2" t="inlineStr"/>
      <c r="H15" s="2" t="inlineStr">
        <is>
          <t>https://services.dha.gov.ae/sheryan/wps/portal/home/medical-directory/facility-details?facilityId=8049909</t>
        </is>
      </c>
      <c r="I15" s="2" t="inlineStr">
        <is>
          <t>OBSERVED</t>
        </is>
      </c>
      <c r="J15" s="2" t="inlineStr">
        <is>
          <t>Merrimac Dialysis Center and hemodialysis service</t>
        </is>
      </c>
      <c r="K15" s="2" t="inlineStr">
        <is>
          <t>2026-08-10</t>
        </is>
      </c>
    </row>
    <row r="16">
      <c r="A16" s="2" t="inlineStr">
        <is>
          <t>SRC-WEB-014</t>
        </is>
      </c>
      <c r="B16" s="2" t="inlineStr">
        <is>
          <t>UAE</t>
        </is>
      </c>
      <c r="C16" s="2" t="inlineStr">
        <is>
          <t>Canadian Specialist Hospital</t>
        </is>
      </c>
      <c r="D16" s="2" t="inlineStr">
        <is>
          <t>Canadian Specialist Hospital facility details</t>
        </is>
      </c>
      <c r="E16" s="2" t="inlineStr">
        <is>
          <t>Dubai Health Authority</t>
        </is>
      </c>
      <c r="F16" s="2" t="inlineStr">
        <is>
          <t>Government medical directory</t>
        </is>
      </c>
      <c r="G16" s="2" t="inlineStr"/>
      <c r="H16" s="2" t="inlineStr">
        <is>
          <t>https://services.dha.gov.ae/sheryan/wps/portal/home/medical-directory/facility-details?facilityId=0047278</t>
        </is>
      </c>
      <c r="I16" s="2" t="inlineStr">
        <is>
          <t>OBSERVED</t>
        </is>
      </c>
      <c r="J16" s="2" t="inlineStr">
        <is>
          <t>Canadian Specialist Hospital renal dialysis listing</t>
        </is>
      </c>
      <c r="K16" s="2" t="inlineStr">
        <is>
          <t>2026-08-10</t>
        </is>
      </c>
    </row>
    <row r="17">
      <c r="A17" s="2" t="inlineStr">
        <is>
          <t>SRC-WEB-015</t>
        </is>
      </c>
      <c r="B17" s="2" t="inlineStr">
        <is>
          <t>UAE</t>
        </is>
      </c>
      <c r="C17" s="2" t="inlineStr">
        <is>
          <t>American Hospital Dubai</t>
        </is>
      </c>
      <c r="D17" s="2" t="inlineStr">
        <is>
          <t>American Hospital Dubai facility details</t>
        </is>
      </c>
      <c r="E17" s="2" t="inlineStr">
        <is>
          <t>Dubai Health Authority</t>
        </is>
      </c>
      <c r="F17" s="2" t="inlineStr">
        <is>
          <t>Government medical directory</t>
        </is>
      </c>
      <c r="G17" s="2" t="inlineStr"/>
      <c r="H17" s="2" t="inlineStr">
        <is>
          <t>https://services.dha.gov.ae/sheryan/wps/portal/home/medical-directory/facility-details?facilityId=0045621</t>
        </is>
      </c>
      <c r="I17" s="2" t="inlineStr">
        <is>
          <t>OBSERVED</t>
        </is>
      </c>
      <c r="J17" s="2" t="inlineStr">
        <is>
          <t>American Hospital Dubai renal dialysis listing</t>
        </is>
      </c>
      <c r="K17" s="2" t="inlineStr">
        <is>
          <t>2026-08-10</t>
        </is>
      </c>
    </row>
    <row r="18">
      <c r="A18" s="2" t="inlineStr">
        <is>
          <t>SRC-WEB-016</t>
        </is>
      </c>
      <c r="B18" s="2" t="inlineStr">
        <is>
          <t>UAE</t>
        </is>
      </c>
      <c r="C18" s="2" t="inlineStr">
        <is>
          <t>Zulekha Hospital Dubai</t>
        </is>
      </c>
      <c r="D18" s="2" t="inlineStr">
        <is>
          <t>Zulekha Hospital facility details</t>
        </is>
      </c>
      <c r="E18" s="2" t="inlineStr">
        <is>
          <t>Dubai Health Authority</t>
        </is>
      </c>
      <c r="F18" s="2" t="inlineStr">
        <is>
          <t>Government medical directory</t>
        </is>
      </c>
      <c r="G18" s="2" t="inlineStr"/>
      <c r="H18" s="2" t="inlineStr">
        <is>
          <t>https://services.dha.gov.ae/sheryan/wps/portal/home/medical-directory/facility-details?facilityId=0002544</t>
        </is>
      </c>
      <c r="I18" s="2" t="inlineStr">
        <is>
          <t>OBSERVED</t>
        </is>
      </c>
      <c r="J18" s="2" t="inlineStr">
        <is>
          <t>Zulekha Hospital renal dialysis listing</t>
        </is>
      </c>
      <c r="K18" s="2" t="inlineStr">
        <is>
          <t>2026-08-10</t>
        </is>
      </c>
    </row>
    <row r="19">
      <c r="A19" s="2" t="inlineStr">
        <is>
          <t>SRC-WEB-017</t>
        </is>
      </c>
      <c r="B19" s="2" t="inlineStr">
        <is>
          <t>UAE</t>
        </is>
      </c>
      <c r="C19" s="2" t="inlineStr">
        <is>
          <t>Mediclinic Parkview Hospital</t>
        </is>
      </c>
      <c r="D19" s="2" t="inlineStr">
        <is>
          <t>Mediclinic Parkview Hospital facility details</t>
        </is>
      </c>
      <c r="E19" s="2" t="inlineStr">
        <is>
          <t>Dubai Health Authority</t>
        </is>
      </c>
      <c r="F19" s="2" t="inlineStr">
        <is>
          <t>Government medical directory</t>
        </is>
      </c>
      <c r="G19" s="2" t="inlineStr"/>
      <c r="H19" s="2" t="inlineStr">
        <is>
          <t>https://services.dha.gov.ae/sheryan/wps/portal/home/medical-directory/facility-details?facilityId=0002476</t>
        </is>
      </c>
      <c r="I19" s="2" t="inlineStr">
        <is>
          <t>OBSERVED</t>
        </is>
      </c>
      <c r="J19" s="2" t="inlineStr">
        <is>
          <t>Mediclinic Parkview Hospital renal dialysis listing</t>
        </is>
      </c>
      <c r="K19" s="2" t="inlineStr">
        <is>
          <t>2026-08-10</t>
        </is>
      </c>
    </row>
    <row r="20">
      <c r="A20" s="2" t="inlineStr">
        <is>
          <t>SRC-WEB-018</t>
        </is>
      </c>
      <c r="B20" s="2" t="inlineStr">
        <is>
          <t>UAE</t>
        </is>
      </c>
      <c r="C20" s="2" t="inlineStr">
        <is>
          <t>NMC Specialty Hospital Al Nadha</t>
        </is>
      </c>
      <c r="D20" s="2" t="inlineStr">
        <is>
          <t>NMC Specialty Hospital Al Nadha facility details</t>
        </is>
      </c>
      <c r="E20" s="2" t="inlineStr">
        <is>
          <t>Dubai Health Authority</t>
        </is>
      </c>
      <c r="F20" s="2" t="inlineStr">
        <is>
          <t>Government medical directory</t>
        </is>
      </c>
      <c r="G20" s="2" t="inlineStr"/>
      <c r="H20" s="2" t="inlineStr">
        <is>
          <t>https://services.dha.gov.ae/sheryan/wps/portal/home/medical-directory/facility-details?facilityId=0046789</t>
        </is>
      </c>
      <c r="I20" s="2" t="inlineStr">
        <is>
          <t>OBSERVED</t>
        </is>
      </c>
      <c r="J20" s="2" t="inlineStr">
        <is>
          <t>NMC Specialty Hospital renal dialysis listing</t>
        </is>
      </c>
      <c r="K20" s="2" t="inlineStr">
        <is>
          <t>2026-08-10</t>
        </is>
      </c>
    </row>
    <row r="21">
      <c r="A21" s="2" t="inlineStr">
        <is>
          <t>SRC-WEB-020</t>
        </is>
      </c>
      <c r="B21" s="2" t="inlineStr">
        <is>
          <t>UAE</t>
        </is>
      </c>
      <c r="C21" s="2" t="inlineStr">
        <is>
          <t>Al Mazroui Medical Center</t>
        </is>
      </c>
      <c r="D21" s="2" t="inlineStr">
        <is>
          <t>Cost-Effectiveness of Home Hemodialysis in UAE</t>
        </is>
      </c>
      <c r="E21" s="2" t="inlineStr">
        <is>
          <t>PMC / peer-reviewed</t>
        </is>
      </c>
      <c r="F21" s="2" t="inlineStr">
        <is>
          <t>Peer-reviewed study</t>
        </is>
      </c>
      <c r="G21" s="2" t="inlineStr">
        <is>
          <t>2021-10-06</t>
        </is>
      </c>
      <c r="H21" s="2" t="inlineStr">
        <is>
          <t>https://pmc.ncbi.nlm.nih.gov/articles/PMC8570984/</t>
        </is>
      </c>
      <c r="I21" s="2" t="inlineStr">
        <is>
          <t>OBSERVED</t>
        </is>
      </c>
      <c r="J21" s="2" t="inlineStr">
        <is>
          <t>Al Mazroui Medical Center and Nephro Care Home Hemodialysis in Abu Dhabi</t>
        </is>
      </c>
      <c r="K21" s="2" t="inlineStr">
        <is>
          <t>2026-08-10</t>
        </is>
      </c>
    </row>
    <row r="22">
      <c r="A22" s="2" t="inlineStr">
        <is>
          <t>SRC-WEB-020</t>
        </is>
      </c>
      <c r="B22" s="2" t="inlineStr">
        <is>
          <t>UAE</t>
        </is>
      </c>
      <c r="C22" s="2" t="inlineStr">
        <is>
          <t>Nephro Care Home Hemodialysis</t>
        </is>
      </c>
      <c r="D22" s="2" t="inlineStr">
        <is>
          <t>Cost-Effectiveness of Home Hemodialysis in UAE</t>
        </is>
      </c>
      <c r="E22" s="2" t="inlineStr">
        <is>
          <t>PMC / peer-reviewed</t>
        </is>
      </c>
      <c r="F22" s="2" t="inlineStr">
        <is>
          <t>Peer-reviewed study</t>
        </is>
      </c>
      <c r="G22" s="2" t="inlineStr">
        <is>
          <t>2021-10-06</t>
        </is>
      </c>
      <c r="H22" s="2" t="inlineStr">
        <is>
          <t>https://pmc.ncbi.nlm.nih.gov/articles/PMC8570984/</t>
        </is>
      </c>
      <c r="I22" s="2" t="inlineStr">
        <is>
          <t>OBSERVED</t>
        </is>
      </c>
      <c r="J22" s="2" t="inlineStr">
        <is>
          <t>Al Mazroui Medical Center and Nephro Care Home Hemodialysis in Abu Dhabi</t>
        </is>
      </c>
      <c r="K22" s="2" t="inlineStr">
        <is>
          <t>2026-08-10</t>
        </is>
      </c>
    </row>
    <row r="23">
      <c r="A23" s="2" t="inlineStr">
        <is>
          <t>SRC-WEB-012</t>
        </is>
      </c>
      <c r="B23" s="2" t="inlineStr">
        <is>
          <t>UAE</t>
        </is>
      </c>
      <c r="C23" s="2" t="inlineStr">
        <is>
          <t>SEHA Dialysis Services - Al Mafraq Hospital</t>
        </is>
      </c>
      <c r="D23" s="2" t="inlineStr">
        <is>
          <t>Authorized Research Institutes and CROs list - SEHA dialysis services</t>
        </is>
      </c>
      <c r="E23" s="2" t="inlineStr">
        <is>
          <t>Abu Dhabi Department of Health</t>
        </is>
      </c>
      <c r="F23" s="2" t="inlineStr">
        <is>
          <t>Government facility list</t>
        </is>
      </c>
      <c r="G23" s="2" t="inlineStr">
        <is>
          <t>2026-08-01</t>
        </is>
      </c>
      <c r="H23" s="2" t="inlineStr">
        <is>
          <t>https://www.doh.gov.ae/en/research/authorized-research-institutes-and-cros</t>
        </is>
      </c>
      <c r="I23" s="2" t="inlineStr">
        <is>
          <t>OBSERVED</t>
        </is>
      </c>
      <c r="J23" s="2" t="inlineStr">
        <is>
          <t>Named SEHA dialysis services facilities</t>
        </is>
      </c>
      <c r="K23" s="2" t="inlineStr">
        <is>
          <t>2026-08-10</t>
        </is>
      </c>
    </row>
    <row r="24">
      <c r="A24" s="2" t="inlineStr">
        <is>
          <t>SRC-WEB-012</t>
        </is>
      </c>
      <c r="B24" s="2" t="inlineStr">
        <is>
          <t>UAE</t>
        </is>
      </c>
      <c r="C24" s="2" t="inlineStr">
        <is>
          <t>SEHA Dialysis Services - Sheikh Khalifa Medical City</t>
        </is>
      </c>
      <c r="D24" s="2" t="inlineStr">
        <is>
          <t>Authorized Research Institutes and CROs list - SEHA dialysis services</t>
        </is>
      </c>
      <c r="E24" s="2" t="inlineStr">
        <is>
          <t>Abu Dhabi Department of Health</t>
        </is>
      </c>
      <c r="F24" s="2" t="inlineStr">
        <is>
          <t>Government facility list</t>
        </is>
      </c>
      <c r="G24" s="2" t="inlineStr">
        <is>
          <t>2026-08-01</t>
        </is>
      </c>
      <c r="H24" s="2" t="inlineStr">
        <is>
          <t>https://www.doh.gov.ae/en/research/authorized-research-institutes-and-cros</t>
        </is>
      </c>
      <c r="I24" s="2" t="inlineStr">
        <is>
          <t>OBSERVED</t>
        </is>
      </c>
      <c r="J24" s="2" t="inlineStr">
        <is>
          <t>Named SEHA dialysis services facilities</t>
        </is>
      </c>
      <c r="K24" s="2" t="inlineStr">
        <is>
          <t>2026-08-10</t>
        </is>
      </c>
    </row>
    <row r="25">
      <c r="A25" s="2" t="inlineStr">
        <is>
          <t>SRC-WEB-012</t>
        </is>
      </c>
      <c r="B25" s="2" t="inlineStr">
        <is>
          <t>UAE</t>
        </is>
      </c>
      <c r="C25" s="2" t="inlineStr">
        <is>
          <t>SEHA Dialysis Services - Tawam Hospital</t>
        </is>
      </c>
      <c r="D25" s="2" t="inlineStr">
        <is>
          <t>Authorized Research Institutes and CROs list - SEHA dialysis services</t>
        </is>
      </c>
      <c r="E25" s="2" t="inlineStr">
        <is>
          <t>Abu Dhabi Department of Health</t>
        </is>
      </c>
      <c r="F25" s="2" t="inlineStr">
        <is>
          <t>Government facility list</t>
        </is>
      </c>
      <c r="G25" s="2" t="inlineStr">
        <is>
          <t>2026-08-01</t>
        </is>
      </c>
      <c r="H25" s="2" t="inlineStr">
        <is>
          <t>https://www.doh.gov.ae/en/research/authorized-research-institutes-and-cros</t>
        </is>
      </c>
      <c r="I25" s="2" t="inlineStr">
        <is>
          <t>OBSERVED</t>
        </is>
      </c>
      <c r="J25" s="2" t="inlineStr">
        <is>
          <t>Named SEHA dialysis services facilities</t>
        </is>
      </c>
      <c r="K25" s="2" t="inlineStr">
        <is>
          <t>2026-08-10</t>
        </is>
      </c>
    </row>
    <row r="26">
      <c r="A26" s="2" t="inlineStr">
        <is>
          <t>SRC-WEB-012</t>
        </is>
      </c>
      <c r="B26" s="2" t="inlineStr">
        <is>
          <t>UAE</t>
        </is>
      </c>
      <c r="C26" s="2" t="inlineStr">
        <is>
          <t>SEHA Dialysis Services - Al Wagan Hospital</t>
        </is>
      </c>
      <c r="D26" s="2" t="inlineStr">
        <is>
          <t>Authorized Research Institutes and CROs list - SEHA dialysis services</t>
        </is>
      </c>
      <c r="E26" s="2" t="inlineStr">
        <is>
          <t>Abu Dhabi Department of Health</t>
        </is>
      </c>
      <c r="F26" s="2" t="inlineStr">
        <is>
          <t>Government facility list</t>
        </is>
      </c>
      <c r="G26" s="2" t="inlineStr">
        <is>
          <t>2026-08-01</t>
        </is>
      </c>
      <c r="H26" s="2" t="inlineStr">
        <is>
          <t>https://www.doh.gov.ae/en/research/authorized-research-institutes-and-cros</t>
        </is>
      </c>
      <c r="I26" s="2" t="inlineStr">
        <is>
          <t>OBSERVED</t>
        </is>
      </c>
      <c r="J26" s="2" t="inlineStr">
        <is>
          <t>Named SEHA dialysis services facilities</t>
        </is>
      </c>
      <c r="K26" s="2" t="inlineStr">
        <is>
          <t>2026-08-10</t>
        </is>
      </c>
    </row>
    <row r="27">
      <c r="A27" s="2" t="inlineStr">
        <is>
          <t>SRC-WEB-024</t>
        </is>
      </c>
      <c r="B27" s="2" t="inlineStr">
        <is>
          <t>Qatar</t>
        </is>
      </c>
      <c r="C27" s="2" t="inlineStr">
        <is>
          <t>Fahad Bin Jassim Kidney Center</t>
        </is>
      </c>
      <c r="D27" s="2" t="inlineStr">
        <is>
          <t>Effects of Distance, Time and Nonspatial Factors on Hemodialysis Access in Qatar</t>
        </is>
      </c>
      <c r="E27" s="2" t="inlineStr">
        <is>
          <t>PMC / peer-reviewed</t>
        </is>
      </c>
      <c r="F27" s="2" t="inlineStr">
        <is>
          <t>Peer-reviewed study</t>
        </is>
      </c>
      <c r="G27" s="2" t="inlineStr">
        <is>
          <t>2024-05-01</t>
        </is>
      </c>
      <c r="H27" s="2" t="inlineStr">
        <is>
          <t>https://pmc.ncbi.nlm.nih.gov/articles/PMC11102569/</t>
        </is>
      </c>
      <c r="I27" s="2" t="inlineStr">
        <is>
          <t>OBSERVED</t>
        </is>
      </c>
      <c r="J27" s="2" t="inlineStr">
        <is>
          <t>2021 Qatar dialysis facilities, stations, shifts and capacity</t>
        </is>
      </c>
      <c r="K27" s="2" t="inlineStr">
        <is>
          <t>2026-08-10</t>
        </is>
      </c>
    </row>
    <row r="28">
      <c r="A28" s="2" t="inlineStr">
        <is>
          <t>SRC-WEB-022</t>
        </is>
      </c>
      <c r="B28" s="2" t="inlineStr">
        <is>
          <t>Qatar</t>
        </is>
      </c>
      <c r="C28" s="2" t="inlineStr">
        <is>
          <t>Al Khor Hospital Dialysis Unit</t>
        </is>
      </c>
      <c r="D28" s="2" t="inlineStr">
        <is>
          <t>Al Khor Hospital Nephrology and Dialysis Department</t>
        </is>
      </c>
      <c r="E28" s="2" t="inlineStr">
        <is>
          <t>Hamad Medical Corporation</t>
        </is>
      </c>
      <c r="F28" s="2" t="inlineStr">
        <is>
          <t>Official hospital page</t>
        </is>
      </c>
      <c r="G28" s="2" t="inlineStr"/>
      <c r="H28" s="2" t="inlineStr">
        <is>
          <t>https://hamad.qa/EN/Hospitals-and-services/Al-Khor-Hospital/Hospital%20Services/Clinical%20Departments/Pages/Nephrology-and-Dialysis-Department.aspx</t>
        </is>
      </c>
      <c r="I28" s="2" t="inlineStr">
        <is>
          <t>OBSERVED</t>
        </is>
      </c>
      <c r="J28" s="2" t="inlineStr">
        <is>
          <t>Al Khor Hospital dialysis unit and 22 HD stations</t>
        </is>
      </c>
      <c r="K28" s="2" t="inlineStr">
        <is>
          <t>2026-08-10</t>
        </is>
      </c>
    </row>
    <row r="29">
      <c r="A29" s="2" t="inlineStr">
        <is>
          <t>SRC-WEB-024</t>
        </is>
      </c>
      <c r="B29" s="2" t="inlineStr">
        <is>
          <t>Qatar</t>
        </is>
      </c>
      <c r="C29" s="2" t="inlineStr">
        <is>
          <t>Al Khor Hospital Dialysis Unit</t>
        </is>
      </c>
      <c r="D29" s="2" t="inlineStr">
        <is>
          <t>Effects of Distance, Time and Nonspatial Factors on Hemodialysis Access in Qatar</t>
        </is>
      </c>
      <c r="E29" s="2" t="inlineStr">
        <is>
          <t>PMC / peer-reviewed</t>
        </is>
      </c>
      <c r="F29" s="2" t="inlineStr">
        <is>
          <t>Peer-reviewed study</t>
        </is>
      </c>
      <c r="G29" s="2" t="inlineStr">
        <is>
          <t>2024-05-01</t>
        </is>
      </c>
      <c r="H29" s="2" t="inlineStr">
        <is>
          <t>https://pmc.ncbi.nlm.nih.gov/articles/PMC11102569/</t>
        </is>
      </c>
      <c r="I29" s="2" t="inlineStr">
        <is>
          <t>OBSERVED</t>
        </is>
      </c>
      <c r="J29" s="2" t="inlineStr">
        <is>
          <t>2021 Qatar dialysis facilities, stations, shifts and capacity</t>
        </is>
      </c>
      <c r="K29" s="2" t="inlineStr">
        <is>
          <t>2026-08-10</t>
        </is>
      </c>
    </row>
    <row r="30">
      <c r="A30" s="2" t="inlineStr">
        <is>
          <t>SRC-WEB-021</t>
        </is>
      </c>
      <c r="B30" s="2" t="inlineStr">
        <is>
          <t>Qatar</t>
        </is>
      </c>
      <c r="C30" s="2" t="inlineStr">
        <is>
          <t>Al Wakra Hospital Dialysis Unit</t>
        </is>
      </c>
      <c r="D30" s="2" t="inlineStr">
        <is>
          <t>HMC Dialysis Division</t>
        </is>
      </c>
      <c r="E30" s="2" t="inlineStr">
        <is>
          <t>Hamad Medical Corporation</t>
        </is>
      </c>
      <c r="F30" s="2" t="inlineStr">
        <is>
          <t>Official healthcare system page</t>
        </is>
      </c>
      <c r="G30" s="2" t="inlineStr"/>
      <c r="H30" s="2" t="inlineStr">
        <is>
          <t>https://hamad.qa/EN/Hospitals-and-services/Hamad-General-Hospital/Pages/Dialysis-Division.aspx</t>
        </is>
      </c>
      <c r="I30" s="2" t="inlineStr">
        <is>
          <t>OBSERVED</t>
        </is>
      </c>
      <c r="J30" s="2" t="inlineStr">
        <is>
          <t>Named Qatar dialysis facilities and HD modalities</t>
        </is>
      </c>
      <c r="K30" s="2" t="inlineStr">
        <is>
          <t>2026-08-10</t>
        </is>
      </c>
    </row>
    <row r="31">
      <c r="A31" s="2" t="inlineStr">
        <is>
          <t>SRC-WEB-024</t>
        </is>
      </c>
      <c r="B31" s="2" t="inlineStr">
        <is>
          <t>Qatar</t>
        </is>
      </c>
      <c r="C31" s="2" t="inlineStr">
        <is>
          <t>Al Wakra Hospital Dialysis Unit</t>
        </is>
      </c>
      <c r="D31" s="2" t="inlineStr">
        <is>
          <t>Effects of Distance, Time and Nonspatial Factors on Hemodialysis Access in Qatar</t>
        </is>
      </c>
      <c r="E31" s="2" t="inlineStr">
        <is>
          <t>PMC / peer-reviewed</t>
        </is>
      </c>
      <c r="F31" s="2" t="inlineStr">
        <is>
          <t>Peer-reviewed study</t>
        </is>
      </c>
      <c r="G31" s="2" t="inlineStr">
        <is>
          <t>2024-05-01</t>
        </is>
      </c>
      <c r="H31" s="2" t="inlineStr">
        <is>
          <t>https://pmc.ncbi.nlm.nih.gov/articles/PMC11102569/</t>
        </is>
      </c>
      <c r="I31" s="2" t="inlineStr">
        <is>
          <t>OBSERVED</t>
        </is>
      </c>
      <c r="J31" s="2" t="inlineStr">
        <is>
          <t>2021 Qatar dialysis facilities, stations, shifts and capacity</t>
        </is>
      </c>
      <c r="K31" s="2" t="inlineStr">
        <is>
          <t>2026-08-10</t>
        </is>
      </c>
    </row>
    <row r="32">
      <c r="A32" s="2" t="inlineStr">
        <is>
          <t>SRC-WEB-024</t>
        </is>
      </c>
      <c r="B32" s="2" t="inlineStr">
        <is>
          <t>Qatar</t>
        </is>
      </c>
      <c r="C32" s="2" t="inlineStr">
        <is>
          <t>Al Wakra Health Center Dialysis Unit</t>
        </is>
      </c>
      <c r="D32" s="2" t="inlineStr">
        <is>
          <t>Effects of Distance, Time and Nonspatial Factors on Hemodialysis Access in Qatar</t>
        </is>
      </c>
      <c r="E32" s="2" t="inlineStr">
        <is>
          <t>PMC / peer-reviewed</t>
        </is>
      </c>
      <c r="F32" s="2" t="inlineStr">
        <is>
          <t>Peer-reviewed study</t>
        </is>
      </c>
      <c r="G32" s="2" t="inlineStr">
        <is>
          <t>2024-05-01</t>
        </is>
      </c>
      <c r="H32" s="2" t="inlineStr">
        <is>
          <t>https://pmc.ncbi.nlm.nih.gov/articles/PMC11102569/</t>
        </is>
      </c>
      <c r="I32" s="2" t="inlineStr">
        <is>
          <t>OBSERVED</t>
        </is>
      </c>
      <c r="J32" s="2" t="inlineStr">
        <is>
          <t>2021 Qatar dialysis facilities, stations, shifts and capacity</t>
        </is>
      </c>
      <c r="K32" s="2" t="inlineStr">
        <is>
          <t>2026-08-10</t>
        </is>
      </c>
    </row>
    <row r="33">
      <c r="A33" s="2" t="inlineStr">
        <is>
          <t>SRC-WEB-024</t>
        </is>
      </c>
      <c r="B33" s="2" t="inlineStr">
        <is>
          <t>Qatar</t>
        </is>
      </c>
      <c r="C33" s="2" t="inlineStr">
        <is>
          <t>Al Sheehaniya Health Center Dialysis Unit</t>
        </is>
      </c>
      <c r="D33" s="2" t="inlineStr">
        <is>
          <t>Effects of Distance, Time and Nonspatial Factors on Hemodialysis Access in Qatar</t>
        </is>
      </c>
      <c r="E33" s="2" t="inlineStr">
        <is>
          <t>PMC / peer-reviewed</t>
        </is>
      </c>
      <c r="F33" s="2" t="inlineStr">
        <is>
          <t>Peer-reviewed study</t>
        </is>
      </c>
      <c r="G33" s="2" t="inlineStr">
        <is>
          <t>2024-05-01</t>
        </is>
      </c>
      <c r="H33" s="2" t="inlineStr">
        <is>
          <t>https://pmc.ncbi.nlm.nih.gov/articles/PMC11102569/</t>
        </is>
      </c>
      <c r="I33" s="2" t="inlineStr">
        <is>
          <t>OBSERVED</t>
        </is>
      </c>
      <c r="J33" s="2" t="inlineStr">
        <is>
          <t>2021 Qatar dialysis facilities, stations, shifts and capacity</t>
        </is>
      </c>
      <c r="K33" s="2" t="inlineStr">
        <is>
          <t>2026-08-10</t>
        </is>
      </c>
    </row>
    <row r="34">
      <c r="A34" s="2" t="inlineStr">
        <is>
          <t>SRC-WEB-024</t>
        </is>
      </c>
      <c r="B34" s="2" t="inlineStr">
        <is>
          <t>Qatar</t>
        </is>
      </c>
      <c r="C34" s="2" t="inlineStr">
        <is>
          <t>Al Shamal Medical Center Dialysis Unit</t>
        </is>
      </c>
      <c r="D34" s="2" t="inlineStr">
        <is>
          <t>Effects of Distance, Time and Nonspatial Factors on Hemodialysis Access in Qatar</t>
        </is>
      </c>
      <c r="E34" s="2" t="inlineStr">
        <is>
          <t>PMC / peer-reviewed</t>
        </is>
      </c>
      <c r="F34" s="2" t="inlineStr">
        <is>
          <t>Peer-reviewed study</t>
        </is>
      </c>
      <c r="G34" s="2" t="inlineStr">
        <is>
          <t>2024-05-01</t>
        </is>
      </c>
      <c r="H34" s="2" t="inlineStr">
        <is>
          <t>https://pmc.ncbi.nlm.nih.gov/articles/PMC11102569/</t>
        </is>
      </c>
      <c r="I34" s="2" t="inlineStr">
        <is>
          <t>OBSERVED</t>
        </is>
      </c>
      <c r="J34" s="2" t="inlineStr">
        <is>
          <t>2021 Qatar dialysis facilities, stations, shifts and capacity</t>
        </is>
      </c>
      <c r="K34" s="2" t="inlineStr">
        <is>
          <t>2026-08-10</t>
        </is>
      </c>
    </row>
    <row r="35">
      <c r="A35" s="2" t="inlineStr">
        <is>
          <t>SRC-WEB-023</t>
        </is>
      </c>
      <c r="B35" s="2" t="inlineStr">
        <is>
          <t>Qatar</t>
        </is>
      </c>
      <c r="C35" s="2" t="inlineStr">
        <is>
          <t>Muaither Health Center Ambulatory Dialysis Unit</t>
        </is>
      </c>
      <c r="D35" s="2" t="inlineStr">
        <is>
          <t>New Ambulatory Dialysis Unit at Muaither Health Center</t>
        </is>
      </c>
      <c r="E35" s="2" t="inlineStr">
        <is>
          <t>Hamad Medical Corporation</t>
        </is>
      </c>
      <c r="F35" s="2" t="inlineStr">
        <is>
          <t>Official news</t>
        </is>
      </c>
      <c r="G35" s="2" t="inlineStr">
        <is>
          <t>2024-05-12</t>
        </is>
      </c>
      <c r="H35" s="2" t="inlineStr">
        <is>
          <t>https://hamad.qa/EN/news/2024/May/Pages/New-Ambulatory-Dialysis-Unit-at-Muaither-Health-Center-Officially-Opens.aspx</t>
        </is>
      </c>
      <c r="I35" s="2" t="inlineStr">
        <is>
          <t>OBSERVED</t>
        </is>
      </c>
      <c r="J35" s="2" t="inlineStr">
        <is>
          <t>Muaither Health Center ambulatory dialysis unit, 8 beds</t>
        </is>
      </c>
      <c r="K35" s="2" t="inlineStr">
        <is>
          <t>2026-08-10</t>
        </is>
      </c>
    </row>
    <row r="36">
      <c r="A36" s="2" t="inlineStr">
        <is>
          <t>SRC-WEB-026</t>
        </is>
      </c>
      <c r="B36" s="2" t="inlineStr">
        <is>
          <t>Qatar</t>
        </is>
      </c>
      <c r="C36" s="2" t="inlineStr">
        <is>
          <t>Daam Specialized Care Center</t>
        </is>
      </c>
      <c r="D36" s="2" t="inlineStr">
        <is>
          <t>Enaya and Daam Specialized Care Centers</t>
        </is>
      </c>
      <c r="E36" s="2" t="inlineStr">
        <is>
          <t>Hamad Medical Corporation</t>
        </is>
      </c>
      <c r="F36" s="2" t="inlineStr">
        <is>
          <t>Official healthcare system page</t>
        </is>
      </c>
      <c r="G36" s="2" t="inlineStr"/>
      <c r="H36" s="2" t="inlineStr">
        <is>
          <t>https://hamad.qa/EN/Hospitals-and-services/Enaya-and-Daam/Pages/default.aspx</t>
        </is>
      </c>
      <c r="I36" s="2" t="inlineStr">
        <is>
          <t>OBSERVED</t>
        </is>
      </c>
      <c r="J36" s="2" t="inlineStr">
        <is>
          <t>Daam on-site hemodialysis in long-term care</t>
        </is>
      </c>
      <c r="K36" s="2" t="inlineStr">
        <is>
          <t>2026-08-10</t>
        </is>
      </c>
    </row>
    <row r="37">
      <c r="A37" s="2" t="inlineStr">
        <is>
          <t>SRC-WEB-027</t>
        </is>
      </c>
      <c r="B37" s="2" t="inlineStr">
        <is>
          <t>Kuwait</t>
        </is>
      </c>
      <c r="C37" s="2" t="inlineStr">
        <is>
          <t>Amiri Hospital</t>
        </is>
      </c>
      <c r="D37" s="2" t="inlineStr">
        <is>
          <t>Global Dialysis Perspective: Kuwait</t>
        </is>
      </c>
      <c r="E37" s="2" t="inlineStr">
        <is>
          <t>Kidney360 / PMC</t>
        </is>
      </c>
      <c r="F37" s="2" t="inlineStr">
        <is>
          <t>Peer-reviewed review</t>
        </is>
      </c>
      <c r="G37" s="2" t="inlineStr">
        <is>
          <t>2021-06-01</t>
        </is>
      </c>
      <c r="H37" s="2" t="inlineStr">
        <is>
          <t>https://pmc.ncbi.nlm.nih.gov/articles/PMC8791361/</t>
        </is>
      </c>
      <c r="I37" s="2" t="inlineStr">
        <is>
          <t>OBSERVED</t>
        </is>
      </c>
      <c r="J37" s="2" t="inlineStr">
        <is>
          <t>Kuwait hospital-based HD, satellites, military and KOC dialysis</t>
        </is>
      </c>
      <c r="K37" s="2" t="inlineStr">
        <is>
          <t>2026-08-10</t>
        </is>
      </c>
    </row>
    <row r="38">
      <c r="A38" s="2" t="inlineStr">
        <is>
          <t>SRC-WEB-028</t>
        </is>
      </c>
      <c r="B38" s="2" t="inlineStr">
        <is>
          <t>Kuwait</t>
        </is>
      </c>
      <c r="C38" s="2" t="inlineStr">
        <is>
          <t>Amiri Hospital</t>
        </is>
      </c>
      <c r="D38" s="2" t="inlineStr">
        <is>
          <t>Multicenter AKI study in seven Kuwait MOH hospitals</t>
        </is>
      </c>
      <c r="E38" s="2" t="inlineStr">
        <is>
          <t>PMC / peer-reviewed</t>
        </is>
      </c>
      <c r="F38" s="2" t="inlineStr">
        <is>
          <t>Peer-reviewed study</t>
        </is>
      </c>
      <c r="G38" s="2" t="inlineStr">
        <is>
          <t>2025-06-01</t>
        </is>
      </c>
      <c r="H38" s="2" t="inlineStr">
        <is>
          <t>https://pmc.ncbi.nlm.nih.gov/articles/PMC12133130/</t>
        </is>
      </c>
      <c r="I38" s="2" t="inlineStr">
        <is>
          <t>OBSERVED</t>
        </is>
      </c>
      <c r="J38" s="2" t="inlineStr">
        <is>
          <t>Seven named MOH hospitals providing inpatient dialysis</t>
        </is>
      </c>
      <c r="K38" s="2" t="inlineStr">
        <is>
          <t>2026-08-10</t>
        </is>
      </c>
    </row>
    <row r="39">
      <c r="A39" s="2" t="inlineStr">
        <is>
          <t>SRC-WEB-027</t>
        </is>
      </c>
      <c r="B39" s="2" t="inlineStr">
        <is>
          <t>Kuwait</t>
        </is>
      </c>
      <c r="C39" s="2" t="inlineStr">
        <is>
          <t>Mubarak Hospital</t>
        </is>
      </c>
      <c r="D39" s="2" t="inlineStr">
        <is>
          <t>Global Dialysis Perspective: Kuwait</t>
        </is>
      </c>
      <c r="E39" s="2" t="inlineStr">
        <is>
          <t>Kidney360 / PMC</t>
        </is>
      </c>
      <c r="F39" s="2" t="inlineStr">
        <is>
          <t>Peer-reviewed review</t>
        </is>
      </c>
      <c r="G39" s="2" t="inlineStr">
        <is>
          <t>2021-06-01</t>
        </is>
      </c>
      <c r="H39" s="2" t="inlineStr">
        <is>
          <t>https://pmc.ncbi.nlm.nih.gov/articles/PMC8791361/</t>
        </is>
      </c>
      <c r="I39" s="2" t="inlineStr">
        <is>
          <t>OBSERVED</t>
        </is>
      </c>
      <c r="J39" s="2" t="inlineStr">
        <is>
          <t>Kuwait hospital-based HD, satellites, military and KOC dialysis</t>
        </is>
      </c>
      <c r="K39" s="2" t="inlineStr">
        <is>
          <t>2026-08-10</t>
        </is>
      </c>
    </row>
    <row r="40">
      <c r="A40" s="2" t="inlineStr">
        <is>
          <t>SRC-WEB-028</t>
        </is>
      </c>
      <c r="B40" s="2" t="inlineStr">
        <is>
          <t>Kuwait</t>
        </is>
      </c>
      <c r="C40" s="2" t="inlineStr">
        <is>
          <t>Mubarak Hospital</t>
        </is>
      </c>
      <c r="D40" s="2" t="inlineStr">
        <is>
          <t>Multicenter AKI study in seven Kuwait MOH hospitals</t>
        </is>
      </c>
      <c r="E40" s="2" t="inlineStr">
        <is>
          <t>PMC / peer-reviewed</t>
        </is>
      </c>
      <c r="F40" s="2" t="inlineStr">
        <is>
          <t>Peer-reviewed study</t>
        </is>
      </c>
      <c r="G40" s="2" t="inlineStr">
        <is>
          <t>2025-06-01</t>
        </is>
      </c>
      <c r="H40" s="2" t="inlineStr">
        <is>
          <t>https://pmc.ncbi.nlm.nih.gov/articles/PMC12133130/</t>
        </is>
      </c>
      <c r="I40" s="2" t="inlineStr">
        <is>
          <t>OBSERVED</t>
        </is>
      </c>
      <c r="J40" s="2" t="inlineStr">
        <is>
          <t>Seven named MOH hospitals providing inpatient dialysis</t>
        </is>
      </c>
      <c r="K40" s="2" t="inlineStr">
        <is>
          <t>2026-08-10</t>
        </is>
      </c>
    </row>
    <row r="41">
      <c r="A41" s="2" t="inlineStr">
        <is>
          <t>SRC-WEB-027</t>
        </is>
      </c>
      <c r="B41" s="2" t="inlineStr">
        <is>
          <t>Kuwait</t>
        </is>
      </c>
      <c r="C41" s="2" t="inlineStr">
        <is>
          <t>Jahra Hospital</t>
        </is>
      </c>
      <c r="D41" s="2" t="inlineStr">
        <is>
          <t>Global Dialysis Perspective: Kuwait</t>
        </is>
      </c>
      <c r="E41" s="2" t="inlineStr">
        <is>
          <t>Kidney360 / PMC</t>
        </is>
      </c>
      <c r="F41" s="2" t="inlineStr">
        <is>
          <t>Peer-reviewed review</t>
        </is>
      </c>
      <c r="G41" s="2" t="inlineStr">
        <is>
          <t>2021-06-01</t>
        </is>
      </c>
      <c r="H41" s="2" t="inlineStr">
        <is>
          <t>https://pmc.ncbi.nlm.nih.gov/articles/PMC8791361/</t>
        </is>
      </c>
      <c r="I41" s="2" t="inlineStr">
        <is>
          <t>OBSERVED</t>
        </is>
      </c>
      <c r="J41" s="2" t="inlineStr">
        <is>
          <t>Kuwait hospital-based HD, satellites, military and KOC dialysis</t>
        </is>
      </c>
      <c r="K41" s="2" t="inlineStr">
        <is>
          <t>2026-08-10</t>
        </is>
      </c>
    </row>
    <row r="42">
      <c r="A42" s="2" t="inlineStr">
        <is>
          <t>SRC-WEB-028</t>
        </is>
      </c>
      <c r="B42" s="2" t="inlineStr">
        <is>
          <t>Kuwait</t>
        </is>
      </c>
      <c r="C42" s="2" t="inlineStr">
        <is>
          <t>Jahra Hospital</t>
        </is>
      </c>
      <c r="D42" s="2" t="inlineStr">
        <is>
          <t>Multicenter AKI study in seven Kuwait MOH hospitals</t>
        </is>
      </c>
      <c r="E42" s="2" t="inlineStr">
        <is>
          <t>PMC / peer-reviewed</t>
        </is>
      </c>
      <c r="F42" s="2" t="inlineStr">
        <is>
          <t>Peer-reviewed study</t>
        </is>
      </c>
      <c r="G42" s="2" t="inlineStr">
        <is>
          <t>2025-06-01</t>
        </is>
      </c>
      <c r="H42" s="2" t="inlineStr">
        <is>
          <t>https://pmc.ncbi.nlm.nih.gov/articles/PMC12133130/</t>
        </is>
      </c>
      <c r="I42" s="2" t="inlineStr">
        <is>
          <t>OBSERVED</t>
        </is>
      </c>
      <c r="J42" s="2" t="inlineStr">
        <is>
          <t>Seven named MOH hospitals providing inpatient dialysis</t>
        </is>
      </c>
      <c r="K42" s="2" t="inlineStr">
        <is>
          <t>2026-08-10</t>
        </is>
      </c>
    </row>
    <row r="43">
      <c r="A43" s="2" t="inlineStr">
        <is>
          <t>SRC-WEB-027</t>
        </is>
      </c>
      <c r="B43" s="2" t="inlineStr">
        <is>
          <t>Kuwait</t>
        </is>
      </c>
      <c r="C43" s="2" t="inlineStr">
        <is>
          <t>Al-Adan Hospital / Al Khozam Dialysis Unit</t>
        </is>
      </c>
      <c r="D43" s="2" t="inlineStr">
        <is>
          <t>Global Dialysis Perspective: Kuwait</t>
        </is>
      </c>
      <c r="E43" s="2" t="inlineStr">
        <is>
          <t>Kidney360 / PMC</t>
        </is>
      </c>
      <c r="F43" s="2" t="inlineStr">
        <is>
          <t>Peer-reviewed review</t>
        </is>
      </c>
      <c r="G43" s="2" t="inlineStr">
        <is>
          <t>2021-06-01</t>
        </is>
      </c>
      <c r="H43" s="2" t="inlineStr">
        <is>
          <t>https://pmc.ncbi.nlm.nih.gov/articles/PMC8791361/</t>
        </is>
      </c>
      <c r="I43" s="2" t="inlineStr">
        <is>
          <t>OBSERVED</t>
        </is>
      </c>
      <c r="J43" s="2" t="inlineStr">
        <is>
          <t>Kuwait hospital-based HD, satellites, military and KOC dialysis</t>
        </is>
      </c>
      <c r="K43" s="2" t="inlineStr">
        <is>
          <t>2026-08-10</t>
        </is>
      </c>
    </row>
    <row r="44">
      <c r="A44" s="2" t="inlineStr">
        <is>
          <t>SRC-WEB-028</t>
        </is>
      </c>
      <c r="B44" s="2" t="inlineStr">
        <is>
          <t>Kuwait</t>
        </is>
      </c>
      <c r="C44" s="2" t="inlineStr">
        <is>
          <t>Al-Adan Hospital / Al Khozam Dialysis Unit</t>
        </is>
      </c>
      <c r="D44" s="2" t="inlineStr">
        <is>
          <t>Multicenter AKI study in seven Kuwait MOH hospitals</t>
        </is>
      </c>
      <c r="E44" s="2" t="inlineStr">
        <is>
          <t>PMC / peer-reviewed</t>
        </is>
      </c>
      <c r="F44" s="2" t="inlineStr">
        <is>
          <t>Peer-reviewed study</t>
        </is>
      </c>
      <c r="G44" s="2" t="inlineStr">
        <is>
          <t>2025-06-01</t>
        </is>
      </c>
      <c r="H44" s="2" t="inlineStr">
        <is>
          <t>https://pmc.ncbi.nlm.nih.gov/articles/PMC12133130/</t>
        </is>
      </c>
      <c r="I44" s="2" t="inlineStr">
        <is>
          <t>OBSERVED</t>
        </is>
      </c>
      <c r="J44" s="2" t="inlineStr">
        <is>
          <t>Seven named MOH hospitals providing inpatient dialysis</t>
        </is>
      </c>
      <c r="K44" s="2" t="inlineStr">
        <is>
          <t>2026-08-10</t>
        </is>
      </c>
    </row>
    <row r="45">
      <c r="A45" s="2" t="inlineStr">
        <is>
          <t>SRC-WEB-029</t>
        </is>
      </c>
      <c r="B45" s="2" t="inlineStr">
        <is>
          <t>Kuwait</t>
        </is>
      </c>
      <c r="C45" s="2" t="inlineStr">
        <is>
          <t>Al-Adan Hospital / Al Khozam Dialysis Unit</t>
        </is>
      </c>
      <c r="D45" s="2" t="inlineStr">
        <is>
          <t>Al Khozam Dialysis Unit at Al-Adan Hospital</t>
        </is>
      </c>
      <c r="E45" s="2" t="inlineStr">
        <is>
          <t>PMC / peer-reviewed</t>
        </is>
      </c>
      <c r="F45" s="2" t="inlineStr">
        <is>
          <t>Peer-reviewed study</t>
        </is>
      </c>
      <c r="G45" s="2" t="inlineStr">
        <is>
          <t>2018-01-01</t>
        </is>
      </c>
      <c r="H45" s="2" t="inlineStr">
        <is>
          <t>https://pmc.ncbi.nlm.nih.gov/articles/PMC6170898/</t>
        </is>
      </c>
      <c r="I45" s="2" t="inlineStr">
        <is>
          <t>OBSERVED</t>
        </is>
      </c>
      <c r="J45" s="2" t="inlineStr">
        <is>
          <t>Al Khozam Dialysis Unit and 60 HD beds</t>
        </is>
      </c>
      <c r="K45" s="2" t="inlineStr">
        <is>
          <t>2026-08-10</t>
        </is>
      </c>
    </row>
    <row r="46">
      <c r="A46" s="2" t="inlineStr">
        <is>
          <t>SRC-WEB-028</t>
        </is>
      </c>
      <c r="B46" s="2" t="inlineStr">
        <is>
          <t>Kuwait</t>
        </is>
      </c>
      <c r="C46" s="2" t="inlineStr">
        <is>
          <t>Farwaniya Hospital</t>
        </is>
      </c>
      <c r="D46" s="2" t="inlineStr">
        <is>
          <t>Multicenter AKI study in seven Kuwait MOH hospitals</t>
        </is>
      </c>
      <c r="E46" s="2" t="inlineStr">
        <is>
          <t>PMC / peer-reviewed</t>
        </is>
      </c>
      <c r="F46" s="2" t="inlineStr">
        <is>
          <t>Peer-reviewed study</t>
        </is>
      </c>
      <c r="G46" s="2" t="inlineStr">
        <is>
          <t>2025-06-01</t>
        </is>
      </c>
      <c r="H46" s="2" t="inlineStr">
        <is>
          <t>https://pmc.ncbi.nlm.nih.gov/articles/PMC12133130/</t>
        </is>
      </c>
      <c r="I46" s="2" t="inlineStr">
        <is>
          <t>OBSERVED</t>
        </is>
      </c>
      <c r="J46" s="2" t="inlineStr">
        <is>
          <t>Seven named MOH hospitals providing inpatient dialysis</t>
        </is>
      </c>
      <c r="K46" s="2" t="inlineStr">
        <is>
          <t>2026-08-10</t>
        </is>
      </c>
    </row>
    <row r="47">
      <c r="A47" s="2" t="inlineStr">
        <is>
          <t>SRC-WEB-028</t>
        </is>
      </c>
      <c r="B47" s="2" t="inlineStr">
        <is>
          <t>Kuwait</t>
        </is>
      </c>
      <c r="C47" s="2" t="inlineStr">
        <is>
          <t>Jaber Hospital</t>
        </is>
      </c>
      <c r="D47" s="2" t="inlineStr">
        <is>
          <t>Multicenter AKI study in seven Kuwait MOH hospitals</t>
        </is>
      </c>
      <c r="E47" s="2" t="inlineStr">
        <is>
          <t>PMC / peer-reviewed</t>
        </is>
      </c>
      <c r="F47" s="2" t="inlineStr">
        <is>
          <t>Peer-reviewed study</t>
        </is>
      </c>
      <c r="G47" s="2" t="inlineStr">
        <is>
          <t>2025-06-01</t>
        </is>
      </c>
      <c r="H47" s="2" t="inlineStr">
        <is>
          <t>https://pmc.ncbi.nlm.nih.gov/articles/PMC12133130/</t>
        </is>
      </c>
      <c r="I47" s="2" t="inlineStr">
        <is>
          <t>OBSERVED</t>
        </is>
      </c>
      <c r="J47" s="2" t="inlineStr">
        <is>
          <t>Seven named MOH hospitals providing inpatient dialysis</t>
        </is>
      </c>
      <c r="K47" s="2" t="inlineStr">
        <is>
          <t>2026-08-10</t>
        </is>
      </c>
    </row>
    <row r="48">
      <c r="A48" s="2" t="inlineStr">
        <is>
          <t>SRC-WEB-028</t>
        </is>
      </c>
      <c r="B48" s="2" t="inlineStr">
        <is>
          <t>Kuwait</t>
        </is>
      </c>
      <c r="C48" s="2" t="inlineStr">
        <is>
          <t>Chest Diseases Hospital</t>
        </is>
      </c>
      <c r="D48" s="2" t="inlineStr">
        <is>
          <t>Multicenter AKI study in seven Kuwait MOH hospitals</t>
        </is>
      </c>
      <c r="E48" s="2" t="inlineStr">
        <is>
          <t>PMC / peer-reviewed</t>
        </is>
      </c>
      <c r="F48" s="2" t="inlineStr">
        <is>
          <t>Peer-reviewed study</t>
        </is>
      </c>
      <c r="G48" s="2" t="inlineStr">
        <is>
          <t>2025-06-01</t>
        </is>
      </c>
      <c r="H48" s="2" t="inlineStr">
        <is>
          <t>https://pmc.ncbi.nlm.nih.gov/articles/PMC12133130/</t>
        </is>
      </c>
      <c r="I48" s="2" t="inlineStr">
        <is>
          <t>OBSERVED</t>
        </is>
      </c>
      <c r="J48" s="2" t="inlineStr">
        <is>
          <t>Seven named MOH hospitals providing inpatient dialysis</t>
        </is>
      </c>
      <c r="K48" s="2" t="inlineStr">
        <is>
          <t>2026-08-10</t>
        </is>
      </c>
    </row>
    <row r="49">
      <c r="A49" s="2" t="inlineStr">
        <is>
          <t>SRC-WEB-027</t>
        </is>
      </c>
      <c r="B49" s="2" t="inlineStr">
        <is>
          <t>Kuwait</t>
        </is>
      </c>
      <c r="C49" s="2" t="inlineStr">
        <is>
          <t>Kuwait Ministry of Defense Hospital</t>
        </is>
      </c>
      <c r="D49" s="2" t="inlineStr">
        <is>
          <t>Global Dialysis Perspective: Kuwait</t>
        </is>
      </c>
      <c r="E49" s="2" t="inlineStr">
        <is>
          <t>Kidney360 / PMC</t>
        </is>
      </c>
      <c r="F49" s="2" t="inlineStr">
        <is>
          <t>Peer-reviewed review</t>
        </is>
      </c>
      <c r="G49" s="2" t="inlineStr">
        <is>
          <t>2021-06-01</t>
        </is>
      </c>
      <c r="H49" s="2" t="inlineStr">
        <is>
          <t>https://pmc.ncbi.nlm.nih.gov/articles/PMC8791361/</t>
        </is>
      </c>
      <c r="I49" s="2" t="inlineStr">
        <is>
          <t>OBSERVED</t>
        </is>
      </c>
      <c r="J49" s="2" t="inlineStr">
        <is>
          <t>Kuwait hospital-based HD, satellites, military and KOC dialysis</t>
        </is>
      </c>
      <c r="K49" s="2" t="inlineStr">
        <is>
          <t>2026-08-10</t>
        </is>
      </c>
    </row>
    <row r="50">
      <c r="A50" s="2" t="inlineStr">
        <is>
          <t>SRC-WEB-027</t>
        </is>
      </c>
      <c r="B50" s="2" t="inlineStr">
        <is>
          <t>Kuwait</t>
        </is>
      </c>
      <c r="C50" s="2" t="inlineStr">
        <is>
          <t>Kuwait Oil Company Hospital</t>
        </is>
      </c>
      <c r="D50" s="2" t="inlineStr">
        <is>
          <t>Global Dialysis Perspective: Kuwait</t>
        </is>
      </c>
      <c r="E50" s="2" t="inlineStr">
        <is>
          <t>Kidney360 / PMC</t>
        </is>
      </c>
      <c r="F50" s="2" t="inlineStr">
        <is>
          <t>Peer-reviewed review</t>
        </is>
      </c>
      <c r="G50" s="2" t="inlineStr">
        <is>
          <t>2021-06-01</t>
        </is>
      </c>
      <c r="H50" s="2" t="inlineStr">
        <is>
          <t>https://pmc.ncbi.nlm.nih.gov/articles/PMC8791361/</t>
        </is>
      </c>
      <c r="I50" s="2" t="inlineStr">
        <is>
          <t>OBSERVED</t>
        </is>
      </c>
      <c r="J50" s="2" t="inlineStr">
        <is>
          <t>Kuwait hospital-based HD, satellites, military and KOC dialysis</t>
        </is>
      </c>
      <c r="K50" s="2" t="inlineStr">
        <is>
          <t>2026-08-10</t>
        </is>
      </c>
    </row>
    <row r="51">
      <c r="A51" s="2" t="inlineStr">
        <is>
          <t>SRC-WEB-030</t>
        </is>
      </c>
      <c r="B51" s="2" t="inlineStr">
        <is>
          <t>Oman</t>
        </is>
      </c>
      <c r="C51" s="2" t="inlineStr">
        <is>
          <t>Sultan Qaboos University Hospital</t>
        </is>
      </c>
      <c r="D51" s="2" t="inlineStr">
        <is>
          <t>Epidemiological Transition of ESKD in Oman</t>
        </is>
      </c>
      <c r="E51" s="2" t="inlineStr">
        <is>
          <t>PMC / peer-reviewed</t>
        </is>
      </c>
      <c r="F51" s="2" t="inlineStr">
        <is>
          <t>Peer-reviewed study</t>
        </is>
      </c>
      <c r="G51" s="2" t="inlineStr">
        <is>
          <t>2017-01-01</t>
        </is>
      </c>
      <c r="H51" s="2" t="inlineStr">
        <is>
          <t>https://pmc.ncbi.nlm.nih.gov/articles/PMC5678924/</t>
        </is>
      </c>
      <c r="I51" s="2" t="inlineStr">
        <is>
          <t>OBSERVED</t>
        </is>
      </c>
      <c r="J51" s="2" t="inlineStr">
        <is>
          <t>Named Oman dialysis facilities and historical bed counts</t>
        </is>
      </c>
      <c r="K51" s="2" t="inlineStr">
        <is>
          <t>2026-08-10</t>
        </is>
      </c>
    </row>
    <row r="52">
      <c r="A52" s="2" t="inlineStr">
        <is>
          <t>SRC-WEB-030</t>
        </is>
      </c>
      <c r="B52" s="2" t="inlineStr">
        <is>
          <t>Oman</t>
        </is>
      </c>
      <c r="C52" s="2" t="inlineStr">
        <is>
          <t>Royal Hospital</t>
        </is>
      </c>
      <c r="D52" s="2" t="inlineStr">
        <is>
          <t>Epidemiological Transition of ESKD in Oman</t>
        </is>
      </c>
      <c r="E52" s="2" t="inlineStr">
        <is>
          <t>PMC / peer-reviewed</t>
        </is>
      </c>
      <c r="F52" s="2" t="inlineStr">
        <is>
          <t>Peer-reviewed study</t>
        </is>
      </c>
      <c r="G52" s="2" t="inlineStr">
        <is>
          <t>2017-01-01</t>
        </is>
      </c>
      <c r="H52" s="2" t="inlineStr">
        <is>
          <t>https://pmc.ncbi.nlm.nih.gov/articles/PMC5678924/</t>
        </is>
      </c>
      <c r="I52" s="2" t="inlineStr">
        <is>
          <t>OBSERVED</t>
        </is>
      </c>
      <c r="J52" s="2" t="inlineStr">
        <is>
          <t>Named Oman dialysis facilities and historical bed counts</t>
        </is>
      </c>
      <c r="K52" s="2" t="inlineStr">
        <is>
          <t>2026-08-10</t>
        </is>
      </c>
    </row>
    <row r="53">
      <c r="A53" s="2" t="inlineStr">
        <is>
          <t>SRC-WEB-030</t>
        </is>
      </c>
      <c r="B53" s="2" t="inlineStr">
        <is>
          <t>Oman</t>
        </is>
      </c>
      <c r="C53" s="2" t="inlineStr">
        <is>
          <t>Sohar Hospital</t>
        </is>
      </c>
      <c r="D53" s="2" t="inlineStr">
        <is>
          <t>Epidemiological Transition of ESKD in Oman</t>
        </is>
      </c>
      <c r="E53" s="2" t="inlineStr">
        <is>
          <t>PMC / peer-reviewed</t>
        </is>
      </c>
      <c r="F53" s="2" t="inlineStr">
        <is>
          <t>Peer-reviewed study</t>
        </is>
      </c>
      <c r="G53" s="2" t="inlineStr">
        <is>
          <t>2017-01-01</t>
        </is>
      </c>
      <c r="H53" s="2" t="inlineStr">
        <is>
          <t>https://pmc.ncbi.nlm.nih.gov/articles/PMC5678924/</t>
        </is>
      </c>
      <c r="I53" s="2" t="inlineStr">
        <is>
          <t>OBSERVED</t>
        </is>
      </c>
      <c r="J53" s="2" t="inlineStr">
        <is>
          <t>Named Oman dialysis facilities and historical bed counts</t>
        </is>
      </c>
      <c r="K53" s="2" t="inlineStr">
        <is>
          <t>2026-08-10</t>
        </is>
      </c>
    </row>
    <row r="54">
      <c r="A54" s="2" t="inlineStr">
        <is>
          <t>SRC-WEB-031</t>
        </is>
      </c>
      <c r="B54" s="2" t="inlineStr">
        <is>
          <t>Oman</t>
        </is>
      </c>
      <c r="C54" s="2" t="inlineStr">
        <is>
          <t>Sohar Hospital</t>
        </is>
      </c>
      <c r="D54" s="2" t="inlineStr">
        <is>
          <t>National HCV study in Oman HD facilities</t>
        </is>
      </c>
      <c r="E54" s="2" t="inlineStr">
        <is>
          <t>PMC / peer-reviewed</t>
        </is>
      </c>
      <c r="F54" s="2" t="inlineStr">
        <is>
          <t>Peer-reviewed study</t>
        </is>
      </c>
      <c r="G54" s="2" t="inlineStr">
        <is>
          <t>2023-01-01</t>
        </is>
      </c>
      <c r="H54" s="2" t="inlineStr">
        <is>
          <t>https://pmc.ncbi.nlm.nih.gov/articles/PMC10686920/</t>
        </is>
      </c>
      <c r="I54" s="2" t="inlineStr">
        <is>
          <t>OBSERVED</t>
        </is>
      </c>
      <c r="J54" s="2" t="inlineStr">
        <is>
          <t>Named Oman HD facilities active in study period</t>
        </is>
      </c>
      <c r="K54" s="2" t="inlineStr">
        <is>
          <t>2026-08-10</t>
        </is>
      </c>
    </row>
    <row r="55">
      <c r="A55" s="2" t="inlineStr">
        <is>
          <t>SRC-WEB-030</t>
        </is>
      </c>
      <c r="B55" s="2" t="inlineStr">
        <is>
          <t>Oman</t>
        </is>
      </c>
      <c r="C55" s="2" t="inlineStr">
        <is>
          <t>Sultan Qaboos Hospital, Salalah</t>
        </is>
      </c>
      <c r="D55" s="2" t="inlineStr">
        <is>
          <t>Epidemiological Transition of ESKD in Oman</t>
        </is>
      </c>
      <c r="E55" s="2" t="inlineStr">
        <is>
          <t>PMC / peer-reviewed</t>
        </is>
      </c>
      <c r="F55" s="2" t="inlineStr">
        <is>
          <t>Peer-reviewed study</t>
        </is>
      </c>
      <c r="G55" s="2" t="inlineStr">
        <is>
          <t>2017-01-01</t>
        </is>
      </c>
      <c r="H55" s="2" t="inlineStr">
        <is>
          <t>https://pmc.ncbi.nlm.nih.gov/articles/PMC5678924/</t>
        </is>
      </c>
      <c r="I55" s="2" t="inlineStr">
        <is>
          <t>OBSERVED</t>
        </is>
      </c>
      <c r="J55" s="2" t="inlineStr">
        <is>
          <t>Named Oman dialysis facilities and historical bed counts</t>
        </is>
      </c>
      <c r="K55" s="2" t="inlineStr">
        <is>
          <t>2026-08-10</t>
        </is>
      </c>
    </row>
    <row r="56">
      <c r="A56" s="2" t="inlineStr">
        <is>
          <t>SRC-WEB-034</t>
        </is>
      </c>
      <c r="B56" s="2" t="inlineStr">
        <is>
          <t>Oman</t>
        </is>
      </c>
      <c r="C56" s="2" t="inlineStr">
        <is>
          <t>Ibra Hospital</t>
        </is>
      </c>
      <c r="D56" s="2" t="inlineStr">
        <is>
          <t>Ibra Hospital official page</t>
        </is>
      </c>
      <c r="E56" s="2" t="inlineStr">
        <is>
          <t>Oman Ministry of Health</t>
        </is>
      </c>
      <c r="F56" s="2" t="inlineStr">
        <is>
          <t>Official hospital page</t>
        </is>
      </c>
      <c r="G56" s="2" t="inlineStr"/>
      <c r="H56" s="2" t="inlineStr">
        <is>
          <t>https://moh.gov.om/en/hospitals-directorates/hospitals/ibra-hospital/</t>
        </is>
      </c>
      <c r="I56" s="2" t="inlineStr">
        <is>
          <t>OBSERVED</t>
        </is>
      </c>
      <c r="J56" s="2" t="inlineStr">
        <is>
          <t>Ibra Hospital renal dialysis unit</t>
        </is>
      </c>
      <c r="K56" s="2" t="inlineStr">
        <is>
          <t>2026-08-10</t>
        </is>
      </c>
    </row>
    <row r="57">
      <c r="A57" s="2" t="inlineStr">
        <is>
          <t>SRC-WEB-031</t>
        </is>
      </c>
      <c r="B57" s="2" t="inlineStr">
        <is>
          <t>Oman</t>
        </is>
      </c>
      <c r="C57" s="2" t="inlineStr">
        <is>
          <t>Ibra Hospital</t>
        </is>
      </c>
      <c r="D57" s="2" t="inlineStr">
        <is>
          <t>National HCV study in Oman HD facilities</t>
        </is>
      </c>
      <c r="E57" s="2" t="inlineStr">
        <is>
          <t>PMC / peer-reviewed</t>
        </is>
      </c>
      <c r="F57" s="2" t="inlineStr">
        <is>
          <t>Peer-reviewed study</t>
        </is>
      </c>
      <c r="G57" s="2" t="inlineStr">
        <is>
          <t>2023-01-01</t>
        </is>
      </c>
      <c r="H57" s="2" t="inlineStr">
        <is>
          <t>https://pmc.ncbi.nlm.nih.gov/articles/PMC10686920/</t>
        </is>
      </c>
      <c r="I57" s="2" t="inlineStr">
        <is>
          <t>OBSERVED</t>
        </is>
      </c>
      <c r="J57" s="2" t="inlineStr">
        <is>
          <t>Named Oman HD facilities active in study period</t>
        </is>
      </c>
      <c r="K57" s="2" t="inlineStr">
        <is>
          <t>2026-08-10</t>
        </is>
      </c>
    </row>
    <row r="58">
      <c r="A58" s="2" t="inlineStr">
        <is>
          <t>SRC-WEB-030</t>
        </is>
      </c>
      <c r="B58" s="2" t="inlineStr">
        <is>
          <t>Oman</t>
        </is>
      </c>
      <c r="C58" s="2" t="inlineStr">
        <is>
          <t>Ibri Hospital</t>
        </is>
      </c>
      <c r="D58" s="2" t="inlineStr">
        <is>
          <t>Epidemiological Transition of ESKD in Oman</t>
        </is>
      </c>
      <c r="E58" s="2" t="inlineStr">
        <is>
          <t>PMC / peer-reviewed</t>
        </is>
      </c>
      <c r="F58" s="2" t="inlineStr">
        <is>
          <t>Peer-reviewed study</t>
        </is>
      </c>
      <c r="G58" s="2" t="inlineStr">
        <is>
          <t>2017-01-01</t>
        </is>
      </c>
      <c r="H58" s="2" t="inlineStr">
        <is>
          <t>https://pmc.ncbi.nlm.nih.gov/articles/PMC5678924/</t>
        </is>
      </c>
      <c r="I58" s="2" t="inlineStr">
        <is>
          <t>OBSERVED</t>
        </is>
      </c>
      <c r="J58" s="2" t="inlineStr">
        <is>
          <t>Named Oman dialysis facilities and historical bed counts</t>
        </is>
      </c>
      <c r="K58" s="2" t="inlineStr">
        <is>
          <t>2026-08-10</t>
        </is>
      </c>
    </row>
    <row r="59">
      <c r="A59" s="2" t="inlineStr">
        <is>
          <t>SRC-WEB-030</t>
        </is>
      </c>
      <c r="B59" s="2" t="inlineStr">
        <is>
          <t>Oman</t>
        </is>
      </c>
      <c r="C59" s="2" t="inlineStr">
        <is>
          <t>Rustaq Hospital</t>
        </is>
      </c>
      <c r="D59" s="2" t="inlineStr">
        <is>
          <t>Epidemiological Transition of ESKD in Oman</t>
        </is>
      </c>
      <c r="E59" s="2" t="inlineStr">
        <is>
          <t>PMC / peer-reviewed</t>
        </is>
      </c>
      <c r="F59" s="2" t="inlineStr">
        <is>
          <t>Peer-reviewed study</t>
        </is>
      </c>
      <c r="G59" s="2" t="inlineStr">
        <is>
          <t>2017-01-01</t>
        </is>
      </c>
      <c r="H59" s="2" t="inlineStr">
        <is>
          <t>https://pmc.ncbi.nlm.nih.gov/articles/PMC5678924/</t>
        </is>
      </c>
      <c r="I59" s="2" t="inlineStr">
        <is>
          <t>OBSERVED</t>
        </is>
      </c>
      <c r="J59" s="2" t="inlineStr">
        <is>
          <t>Named Oman dialysis facilities and historical bed counts</t>
        </is>
      </c>
      <c r="K59" s="2" t="inlineStr">
        <is>
          <t>2026-08-10</t>
        </is>
      </c>
    </row>
    <row r="60">
      <c r="A60" s="2" t="inlineStr">
        <is>
          <t>SRC-WEB-031</t>
        </is>
      </c>
      <c r="B60" s="2" t="inlineStr">
        <is>
          <t>Oman</t>
        </is>
      </c>
      <c r="C60" s="2" t="inlineStr">
        <is>
          <t>Rustaq Hospital</t>
        </is>
      </c>
      <c r="D60" s="2" t="inlineStr">
        <is>
          <t>National HCV study in Oman HD facilities</t>
        </is>
      </c>
      <c r="E60" s="2" t="inlineStr">
        <is>
          <t>PMC / peer-reviewed</t>
        </is>
      </c>
      <c r="F60" s="2" t="inlineStr">
        <is>
          <t>Peer-reviewed study</t>
        </is>
      </c>
      <c r="G60" s="2" t="inlineStr">
        <is>
          <t>2023-01-01</t>
        </is>
      </c>
      <c r="H60" s="2" t="inlineStr">
        <is>
          <t>https://pmc.ncbi.nlm.nih.gov/articles/PMC10686920/</t>
        </is>
      </c>
      <c r="I60" s="2" t="inlineStr">
        <is>
          <t>OBSERVED</t>
        </is>
      </c>
      <c r="J60" s="2" t="inlineStr">
        <is>
          <t>Named Oman HD facilities active in study period</t>
        </is>
      </c>
      <c r="K60" s="2" t="inlineStr">
        <is>
          <t>2026-08-10</t>
        </is>
      </c>
    </row>
    <row r="61">
      <c r="A61" s="2" t="inlineStr">
        <is>
          <t>SRC-WEB-030</t>
        </is>
      </c>
      <c r="B61" s="2" t="inlineStr">
        <is>
          <t>Oman</t>
        </is>
      </c>
      <c r="C61" s="2" t="inlineStr">
        <is>
          <t>Khasab Hospital</t>
        </is>
      </c>
      <c r="D61" s="2" t="inlineStr">
        <is>
          <t>Epidemiological Transition of ESKD in Oman</t>
        </is>
      </c>
      <c r="E61" s="2" t="inlineStr">
        <is>
          <t>PMC / peer-reviewed</t>
        </is>
      </c>
      <c r="F61" s="2" t="inlineStr">
        <is>
          <t>Peer-reviewed study</t>
        </is>
      </c>
      <c r="G61" s="2" t="inlineStr">
        <is>
          <t>2017-01-01</t>
        </is>
      </c>
      <c r="H61" s="2" t="inlineStr">
        <is>
          <t>https://pmc.ncbi.nlm.nih.gov/articles/PMC5678924/</t>
        </is>
      </c>
      <c r="I61" s="2" t="inlineStr">
        <is>
          <t>OBSERVED</t>
        </is>
      </c>
      <c r="J61" s="2" t="inlineStr">
        <is>
          <t>Named Oman dialysis facilities and historical bed counts</t>
        </is>
      </c>
      <c r="K61" s="2" t="inlineStr">
        <is>
          <t>2026-08-10</t>
        </is>
      </c>
    </row>
    <row r="62">
      <c r="A62" s="2" t="inlineStr">
        <is>
          <t>SRC-WEB-031</t>
        </is>
      </c>
      <c r="B62" s="2" t="inlineStr">
        <is>
          <t>Oman</t>
        </is>
      </c>
      <c r="C62" s="2" t="inlineStr">
        <is>
          <t>Khasab Hospital</t>
        </is>
      </c>
      <c r="D62" s="2" t="inlineStr">
        <is>
          <t>National HCV study in Oman HD facilities</t>
        </is>
      </c>
      <c r="E62" s="2" t="inlineStr">
        <is>
          <t>PMC / peer-reviewed</t>
        </is>
      </c>
      <c r="F62" s="2" t="inlineStr">
        <is>
          <t>Peer-reviewed study</t>
        </is>
      </c>
      <c r="G62" s="2" t="inlineStr">
        <is>
          <t>2023-01-01</t>
        </is>
      </c>
      <c r="H62" s="2" t="inlineStr">
        <is>
          <t>https://pmc.ncbi.nlm.nih.gov/articles/PMC10686920/</t>
        </is>
      </c>
      <c r="I62" s="2" t="inlineStr">
        <is>
          <t>OBSERVED</t>
        </is>
      </c>
      <c r="J62" s="2" t="inlineStr">
        <is>
          <t>Named Oman HD facilities active in study period</t>
        </is>
      </c>
      <c r="K62" s="2" t="inlineStr">
        <is>
          <t>2026-08-10</t>
        </is>
      </c>
    </row>
    <row r="63">
      <c r="A63" s="2" t="inlineStr">
        <is>
          <t>SRC-WEB-030</t>
        </is>
      </c>
      <c r="B63" s="2" t="inlineStr">
        <is>
          <t>Oman</t>
        </is>
      </c>
      <c r="C63" s="2" t="inlineStr">
        <is>
          <t>Nizwa Hospital</t>
        </is>
      </c>
      <c r="D63" s="2" t="inlineStr">
        <is>
          <t>Epidemiological Transition of ESKD in Oman</t>
        </is>
      </c>
      <c r="E63" s="2" t="inlineStr">
        <is>
          <t>PMC / peer-reviewed</t>
        </is>
      </c>
      <c r="F63" s="2" t="inlineStr">
        <is>
          <t>Peer-reviewed study</t>
        </is>
      </c>
      <c r="G63" s="2" t="inlineStr">
        <is>
          <t>2017-01-01</t>
        </is>
      </c>
      <c r="H63" s="2" t="inlineStr">
        <is>
          <t>https://pmc.ncbi.nlm.nih.gov/articles/PMC5678924/</t>
        </is>
      </c>
      <c r="I63" s="2" t="inlineStr">
        <is>
          <t>OBSERVED</t>
        </is>
      </c>
      <c r="J63" s="2" t="inlineStr">
        <is>
          <t>Named Oman dialysis facilities and historical bed counts</t>
        </is>
      </c>
      <c r="K63" s="2" t="inlineStr">
        <is>
          <t>2026-08-10</t>
        </is>
      </c>
    </row>
    <row r="64">
      <c r="A64" s="2" t="inlineStr">
        <is>
          <t>SRC-WEB-036</t>
        </is>
      </c>
      <c r="B64" s="2" t="inlineStr">
        <is>
          <t>Oman</t>
        </is>
      </c>
      <c r="C64" s="2" t="inlineStr">
        <is>
          <t>Bausher Renal Dialysis Center</t>
        </is>
      </c>
      <c r="D64" s="2" t="inlineStr">
        <is>
          <t>Bausher Renal Dialysis Center official page</t>
        </is>
      </c>
      <c r="E64" s="2" t="inlineStr">
        <is>
          <t>Oman Ministry of Health</t>
        </is>
      </c>
      <c r="F64" s="2" t="inlineStr">
        <is>
          <t>Official facility page</t>
        </is>
      </c>
      <c r="G64" s="2" t="inlineStr"/>
      <c r="H64" s="2" t="inlineStr">
        <is>
          <t>https://moh.gov.om/en/hospitals-directorates/health-centers/renal-dialysis-center/</t>
        </is>
      </c>
      <c r="I64" s="2" t="inlineStr">
        <is>
          <t>OBSERVED</t>
        </is>
      </c>
      <c r="J64" s="2" t="inlineStr">
        <is>
          <t>Bausher renal dialysis center</t>
        </is>
      </c>
      <c r="K64" s="2" t="inlineStr">
        <is>
          <t>2026-08-10</t>
        </is>
      </c>
    </row>
    <row r="65">
      <c r="A65" s="2" t="inlineStr">
        <is>
          <t>SRC-WEB-032</t>
        </is>
      </c>
      <c r="B65" s="2" t="inlineStr">
        <is>
          <t>Oman</t>
        </is>
      </c>
      <c r="C65" s="2" t="inlineStr">
        <is>
          <t>Bausher Renal Dialysis Center</t>
        </is>
      </c>
      <c r="D65" s="2" t="inlineStr">
        <is>
          <t>Bausher Dialysis Unit study</t>
        </is>
      </c>
      <c r="E65" s="2" t="inlineStr">
        <is>
          <t>PMC / peer-reviewed</t>
        </is>
      </c>
      <c r="F65" s="2" t="inlineStr">
        <is>
          <t>Peer-reviewed study</t>
        </is>
      </c>
      <c r="G65" s="2" t="inlineStr">
        <is>
          <t>2021-01-01</t>
        </is>
      </c>
      <c r="H65" s="2" t="inlineStr">
        <is>
          <t>https://pmc.ncbi.nlm.nih.gov/articles/PMC8049780/</t>
        </is>
      </c>
      <c r="I65" s="2" t="inlineStr">
        <is>
          <t>OBSERVED</t>
        </is>
      </c>
      <c r="J65" s="2" t="inlineStr">
        <is>
          <t>Bausher dialysis unit and 42 dialysis units/stations</t>
        </is>
      </c>
      <c r="K65" s="2" t="inlineStr">
        <is>
          <t>2026-08-10</t>
        </is>
      </c>
    </row>
    <row r="66">
      <c r="A66" s="2" t="inlineStr">
        <is>
          <t>SRC-WEB-031</t>
        </is>
      </c>
      <c r="B66" s="2" t="inlineStr">
        <is>
          <t>Oman</t>
        </is>
      </c>
      <c r="C66" s="2" t="inlineStr">
        <is>
          <t>Bausher Renal Dialysis Center</t>
        </is>
      </c>
      <c r="D66" s="2" t="inlineStr">
        <is>
          <t>National HCV study in Oman HD facilities</t>
        </is>
      </c>
      <c r="E66" s="2" t="inlineStr">
        <is>
          <t>PMC / peer-reviewed</t>
        </is>
      </c>
      <c r="F66" s="2" t="inlineStr">
        <is>
          <t>Peer-reviewed study</t>
        </is>
      </c>
      <c r="G66" s="2" t="inlineStr">
        <is>
          <t>2023-01-01</t>
        </is>
      </c>
      <c r="H66" s="2" t="inlineStr">
        <is>
          <t>https://pmc.ncbi.nlm.nih.gov/articles/PMC10686920/</t>
        </is>
      </c>
      <c r="I66" s="2" t="inlineStr">
        <is>
          <t>OBSERVED</t>
        </is>
      </c>
      <c r="J66" s="2" t="inlineStr">
        <is>
          <t>Named Oman HD facilities active in study period</t>
        </is>
      </c>
      <c r="K66" s="2" t="inlineStr">
        <is>
          <t>2026-08-10</t>
        </is>
      </c>
    </row>
    <row r="67">
      <c r="A67" s="2" t="inlineStr">
        <is>
          <t>SRC-WEB-030</t>
        </is>
      </c>
      <c r="B67" s="2" t="inlineStr">
        <is>
          <t>Oman</t>
        </is>
      </c>
      <c r="C67" s="2" t="inlineStr">
        <is>
          <t>Sur Hospital</t>
        </is>
      </c>
      <c r="D67" s="2" t="inlineStr">
        <is>
          <t>Epidemiological Transition of ESKD in Oman</t>
        </is>
      </c>
      <c r="E67" s="2" t="inlineStr">
        <is>
          <t>PMC / peer-reviewed</t>
        </is>
      </c>
      <c r="F67" s="2" t="inlineStr">
        <is>
          <t>Peer-reviewed study</t>
        </is>
      </c>
      <c r="G67" s="2" t="inlineStr">
        <is>
          <t>2017-01-01</t>
        </is>
      </c>
      <c r="H67" s="2" t="inlineStr">
        <is>
          <t>https://pmc.ncbi.nlm.nih.gov/articles/PMC5678924/</t>
        </is>
      </c>
      <c r="I67" s="2" t="inlineStr">
        <is>
          <t>OBSERVED</t>
        </is>
      </c>
      <c r="J67" s="2" t="inlineStr">
        <is>
          <t>Named Oman dialysis facilities and historical bed counts</t>
        </is>
      </c>
      <c r="K67" s="2" t="inlineStr">
        <is>
          <t>2026-08-10</t>
        </is>
      </c>
    </row>
    <row r="68">
      <c r="A68" s="2" t="inlineStr">
        <is>
          <t>SRC-WEB-030</t>
        </is>
      </c>
      <c r="B68" s="2" t="inlineStr">
        <is>
          <t>Oman</t>
        </is>
      </c>
      <c r="C68" s="2" t="inlineStr">
        <is>
          <t>Dibba Hospital</t>
        </is>
      </c>
      <c r="D68" s="2" t="inlineStr">
        <is>
          <t>Epidemiological Transition of ESKD in Oman</t>
        </is>
      </c>
      <c r="E68" s="2" t="inlineStr">
        <is>
          <t>PMC / peer-reviewed</t>
        </is>
      </c>
      <c r="F68" s="2" t="inlineStr">
        <is>
          <t>Peer-reviewed study</t>
        </is>
      </c>
      <c r="G68" s="2" t="inlineStr">
        <is>
          <t>2017-01-01</t>
        </is>
      </c>
      <c r="H68" s="2" t="inlineStr">
        <is>
          <t>https://pmc.ncbi.nlm.nih.gov/articles/PMC5678924/</t>
        </is>
      </c>
      <c r="I68" s="2" t="inlineStr">
        <is>
          <t>OBSERVED</t>
        </is>
      </c>
      <c r="J68" s="2" t="inlineStr">
        <is>
          <t>Named Oman dialysis facilities and historical bed counts</t>
        </is>
      </c>
      <c r="K68" s="2" t="inlineStr">
        <is>
          <t>2026-08-10</t>
        </is>
      </c>
    </row>
    <row r="69">
      <c r="A69" s="2" t="inlineStr">
        <is>
          <t>SRC-WEB-030</t>
        </is>
      </c>
      <c r="B69" s="2" t="inlineStr">
        <is>
          <t>Oman</t>
        </is>
      </c>
      <c r="C69" s="2" t="inlineStr">
        <is>
          <t>Jaalan Bin Bu Ali Dialysis Unit</t>
        </is>
      </c>
      <c r="D69" s="2" t="inlineStr">
        <is>
          <t>Epidemiological Transition of ESKD in Oman</t>
        </is>
      </c>
      <c r="E69" s="2" t="inlineStr">
        <is>
          <t>PMC / peer-reviewed</t>
        </is>
      </c>
      <c r="F69" s="2" t="inlineStr">
        <is>
          <t>Peer-reviewed study</t>
        </is>
      </c>
      <c r="G69" s="2" t="inlineStr">
        <is>
          <t>2017-01-01</t>
        </is>
      </c>
      <c r="H69" s="2" t="inlineStr">
        <is>
          <t>https://pmc.ncbi.nlm.nih.gov/articles/PMC5678924/</t>
        </is>
      </c>
      <c r="I69" s="2" t="inlineStr">
        <is>
          <t>OBSERVED</t>
        </is>
      </c>
      <c r="J69" s="2" t="inlineStr">
        <is>
          <t>Named Oman dialysis facilities and historical bed counts</t>
        </is>
      </c>
      <c r="K69" s="2" t="inlineStr">
        <is>
          <t>2026-08-10</t>
        </is>
      </c>
    </row>
    <row r="70">
      <c r="A70" s="2" t="inlineStr">
        <is>
          <t>SRC-WEB-031</t>
        </is>
      </c>
      <c r="B70" s="2" t="inlineStr">
        <is>
          <t>Oman</t>
        </is>
      </c>
      <c r="C70" s="2" t="inlineStr">
        <is>
          <t>Jaalan Bin Bu Ali Dialysis Unit</t>
        </is>
      </c>
      <c r="D70" s="2" t="inlineStr">
        <is>
          <t>National HCV study in Oman HD facilities</t>
        </is>
      </c>
      <c r="E70" s="2" t="inlineStr">
        <is>
          <t>PMC / peer-reviewed</t>
        </is>
      </c>
      <c r="F70" s="2" t="inlineStr">
        <is>
          <t>Peer-reviewed study</t>
        </is>
      </c>
      <c r="G70" s="2" t="inlineStr">
        <is>
          <t>2023-01-01</t>
        </is>
      </c>
      <c r="H70" s="2" t="inlineStr">
        <is>
          <t>https://pmc.ncbi.nlm.nih.gov/articles/PMC10686920/</t>
        </is>
      </c>
      <c r="I70" s="2" t="inlineStr">
        <is>
          <t>OBSERVED</t>
        </is>
      </c>
      <c r="J70" s="2" t="inlineStr">
        <is>
          <t>Named Oman HD facilities active in study period</t>
        </is>
      </c>
      <c r="K70" s="2" t="inlineStr">
        <is>
          <t>2026-08-10</t>
        </is>
      </c>
    </row>
    <row r="71">
      <c r="A71" s="2" t="inlineStr">
        <is>
          <t>SRC-WEB-030</t>
        </is>
      </c>
      <c r="B71" s="2" t="inlineStr">
        <is>
          <t>Oman</t>
        </is>
      </c>
      <c r="C71" s="2" t="inlineStr">
        <is>
          <t>Qurayyat Hospital</t>
        </is>
      </c>
      <c r="D71" s="2" t="inlineStr">
        <is>
          <t>Epidemiological Transition of ESKD in Oman</t>
        </is>
      </c>
      <c r="E71" s="2" t="inlineStr">
        <is>
          <t>PMC / peer-reviewed</t>
        </is>
      </c>
      <c r="F71" s="2" t="inlineStr">
        <is>
          <t>Peer-reviewed study</t>
        </is>
      </c>
      <c r="G71" s="2" t="inlineStr">
        <is>
          <t>2017-01-01</t>
        </is>
      </c>
      <c r="H71" s="2" t="inlineStr">
        <is>
          <t>https://pmc.ncbi.nlm.nih.gov/articles/PMC5678924/</t>
        </is>
      </c>
      <c r="I71" s="2" t="inlineStr">
        <is>
          <t>OBSERVED</t>
        </is>
      </c>
      <c r="J71" s="2" t="inlineStr">
        <is>
          <t>Named Oman dialysis facilities and historical bed counts</t>
        </is>
      </c>
      <c r="K71" s="2" t="inlineStr">
        <is>
          <t>2026-08-10</t>
        </is>
      </c>
    </row>
    <row r="72">
      <c r="A72" s="2" t="inlineStr">
        <is>
          <t>SRC-WEB-031</t>
        </is>
      </c>
      <c r="B72" s="2" t="inlineStr">
        <is>
          <t>Oman</t>
        </is>
      </c>
      <c r="C72" s="2" t="inlineStr">
        <is>
          <t>Qurayyat Hospital</t>
        </is>
      </c>
      <c r="D72" s="2" t="inlineStr">
        <is>
          <t>National HCV study in Oman HD facilities</t>
        </is>
      </c>
      <c r="E72" s="2" t="inlineStr">
        <is>
          <t>PMC / peer-reviewed</t>
        </is>
      </c>
      <c r="F72" s="2" t="inlineStr">
        <is>
          <t>Peer-reviewed study</t>
        </is>
      </c>
      <c r="G72" s="2" t="inlineStr">
        <is>
          <t>2023-01-01</t>
        </is>
      </c>
      <c r="H72" s="2" t="inlineStr">
        <is>
          <t>https://pmc.ncbi.nlm.nih.gov/articles/PMC10686920/</t>
        </is>
      </c>
      <c r="I72" s="2" t="inlineStr">
        <is>
          <t>OBSERVED</t>
        </is>
      </c>
      <c r="J72" s="2" t="inlineStr">
        <is>
          <t>Named Oman HD facilities active in study period</t>
        </is>
      </c>
      <c r="K72" s="2" t="inlineStr">
        <is>
          <t>2026-08-10</t>
        </is>
      </c>
    </row>
    <row r="73">
      <c r="A73" s="2" t="inlineStr">
        <is>
          <t>SRC-WEB-030</t>
        </is>
      </c>
      <c r="B73" s="2" t="inlineStr">
        <is>
          <t>Oman</t>
        </is>
      </c>
      <c r="C73" s="2" t="inlineStr">
        <is>
          <t>Al Buraimi Hospital</t>
        </is>
      </c>
      <c r="D73" s="2" t="inlineStr">
        <is>
          <t>Epidemiological Transition of ESKD in Oman</t>
        </is>
      </c>
      <c r="E73" s="2" t="inlineStr">
        <is>
          <t>PMC / peer-reviewed</t>
        </is>
      </c>
      <c r="F73" s="2" t="inlineStr">
        <is>
          <t>Peer-reviewed study</t>
        </is>
      </c>
      <c r="G73" s="2" t="inlineStr">
        <is>
          <t>2017-01-01</t>
        </is>
      </c>
      <c r="H73" s="2" t="inlineStr">
        <is>
          <t>https://pmc.ncbi.nlm.nih.gov/articles/PMC5678924/</t>
        </is>
      </c>
      <c r="I73" s="2" t="inlineStr">
        <is>
          <t>OBSERVED</t>
        </is>
      </c>
      <c r="J73" s="2" t="inlineStr">
        <is>
          <t>Named Oman dialysis facilities and historical bed counts</t>
        </is>
      </c>
      <c r="K73" s="2" t="inlineStr">
        <is>
          <t>2026-08-10</t>
        </is>
      </c>
    </row>
    <row r="74">
      <c r="A74" s="2" t="inlineStr">
        <is>
          <t>SRC-WEB-031</t>
        </is>
      </c>
      <c r="B74" s="2" t="inlineStr">
        <is>
          <t>Oman</t>
        </is>
      </c>
      <c r="C74" s="2" t="inlineStr">
        <is>
          <t>Al Buraimi Hospital</t>
        </is>
      </c>
      <c r="D74" s="2" t="inlineStr">
        <is>
          <t>National HCV study in Oman HD facilities</t>
        </is>
      </c>
      <c r="E74" s="2" t="inlineStr">
        <is>
          <t>PMC / peer-reviewed</t>
        </is>
      </c>
      <c r="F74" s="2" t="inlineStr">
        <is>
          <t>Peer-reviewed study</t>
        </is>
      </c>
      <c r="G74" s="2" t="inlineStr">
        <is>
          <t>2023-01-01</t>
        </is>
      </c>
      <c r="H74" s="2" t="inlineStr">
        <is>
          <t>https://pmc.ncbi.nlm.nih.gov/articles/PMC10686920/</t>
        </is>
      </c>
      <c r="I74" s="2" t="inlineStr">
        <is>
          <t>OBSERVED</t>
        </is>
      </c>
      <c r="J74" s="2" t="inlineStr">
        <is>
          <t>Named Oman HD facilities active in study period</t>
        </is>
      </c>
      <c r="K74" s="2" t="inlineStr">
        <is>
          <t>2026-08-10</t>
        </is>
      </c>
    </row>
    <row r="75">
      <c r="A75" s="2" t="inlineStr">
        <is>
          <t>SRC-WEB-030</t>
        </is>
      </c>
      <c r="B75" s="2" t="inlineStr">
        <is>
          <t>Oman</t>
        </is>
      </c>
      <c r="C75" s="2" t="inlineStr">
        <is>
          <t>Musannah Renal Dialysis Center</t>
        </is>
      </c>
      <c r="D75" s="2" t="inlineStr">
        <is>
          <t>Epidemiological Transition of ESKD in Oman</t>
        </is>
      </c>
      <c r="E75" s="2" t="inlineStr">
        <is>
          <t>PMC / peer-reviewed</t>
        </is>
      </c>
      <c r="F75" s="2" t="inlineStr">
        <is>
          <t>Peer-reviewed study</t>
        </is>
      </c>
      <c r="G75" s="2" t="inlineStr">
        <is>
          <t>2017-01-01</t>
        </is>
      </c>
      <c r="H75" s="2" t="inlineStr">
        <is>
          <t>https://pmc.ncbi.nlm.nih.gov/articles/PMC5678924/</t>
        </is>
      </c>
      <c r="I75" s="2" t="inlineStr">
        <is>
          <t>OBSERVED</t>
        </is>
      </c>
      <c r="J75" s="2" t="inlineStr">
        <is>
          <t>Named Oman dialysis facilities and historical bed counts</t>
        </is>
      </c>
      <c r="K75" s="2" t="inlineStr">
        <is>
          <t>2026-08-10</t>
        </is>
      </c>
    </row>
    <row r="76">
      <c r="A76" s="2" t="inlineStr">
        <is>
          <t>SRC-WEB-030</t>
        </is>
      </c>
      <c r="B76" s="2" t="inlineStr">
        <is>
          <t>Oman</t>
        </is>
      </c>
      <c r="C76" s="2" t="inlineStr">
        <is>
          <t>Samael Renal Dialysis Center</t>
        </is>
      </c>
      <c r="D76" s="2" t="inlineStr">
        <is>
          <t>Epidemiological Transition of ESKD in Oman</t>
        </is>
      </c>
      <c r="E76" s="2" t="inlineStr">
        <is>
          <t>PMC / peer-reviewed</t>
        </is>
      </c>
      <c r="F76" s="2" t="inlineStr">
        <is>
          <t>Peer-reviewed study</t>
        </is>
      </c>
      <c r="G76" s="2" t="inlineStr">
        <is>
          <t>2017-01-01</t>
        </is>
      </c>
      <c r="H76" s="2" t="inlineStr">
        <is>
          <t>https://pmc.ncbi.nlm.nih.gov/articles/PMC5678924/</t>
        </is>
      </c>
      <c r="I76" s="2" t="inlineStr">
        <is>
          <t>OBSERVED</t>
        </is>
      </c>
      <c r="J76" s="2" t="inlineStr">
        <is>
          <t>Named Oman dialysis facilities and historical bed counts</t>
        </is>
      </c>
      <c r="K76" s="2" t="inlineStr">
        <is>
          <t>2026-08-10</t>
        </is>
      </c>
    </row>
    <row r="77">
      <c r="A77" s="2" t="inlineStr">
        <is>
          <t>SRC-WEB-030</t>
        </is>
      </c>
      <c r="B77" s="2" t="inlineStr">
        <is>
          <t>Oman</t>
        </is>
      </c>
      <c r="C77" s="2" t="inlineStr">
        <is>
          <t>Sinaw Hospital</t>
        </is>
      </c>
      <c r="D77" s="2" t="inlineStr">
        <is>
          <t>Epidemiological Transition of ESKD in Oman</t>
        </is>
      </c>
      <c r="E77" s="2" t="inlineStr">
        <is>
          <t>PMC / peer-reviewed</t>
        </is>
      </c>
      <c r="F77" s="2" t="inlineStr">
        <is>
          <t>Peer-reviewed study</t>
        </is>
      </c>
      <c r="G77" s="2" t="inlineStr">
        <is>
          <t>2017-01-01</t>
        </is>
      </c>
      <c r="H77" s="2" t="inlineStr">
        <is>
          <t>https://pmc.ncbi.nlm.nih.gov/articles/PMC5678924/</t>
        </is>
      </c>
      <c r="I77" s="2" t="inlineStr">
        <is>
          <t>OBSERVED</t>
        </is>
      </c>
      <c r="J77" s="2" t="inlineStr">
        <is>
          <t>Named Oman dialysis facilities and historical bed counts</t>
        </is>
      </c>
      <c r="K77" s="2" t="inlineStr">
        <is>
          <t>2026-08-10</t>
        </is>
      </c>
    </row>
    <row r="78">
      <c r="A78" s="2" t="inlineStr">
        <is>
          <t>SRC-WEB-035</t>
        </is>
      </c>
      <c r="B78" s="2" t="inlineStr">
        <is>
          <t>Oman</t>
        </is>
      </c>
      <c r="C78" s="2" t="inlineStr">
        <is>
          <t>Al Seeb Renal Dialysis Center</t>
        </is>
      </c>
      <c r="D78" s="2" t="inlineStr">
        <is>
          <t>Al Seeb Renal Dialysis Center official page</t>
        </is>
      </c>
      <c r="E78" s="2" t="inlineStr">
        <is>
          <t>Oman Ministry of Health</t>
        </is>
      </c>
      <c r="F78" s="2" t="inlineStr">
        <is>
          <t>Official facility page</t>
        </is>
      </c>
      <c r="G78" s="2" t="inlineStr"/>
      <c r="H78" s="2" t="inlineStr">
        <is>
          <t>https://moh.gov.om/en/hospitals-directorates/health-centers/al-seeb-renal-dialysis-center/</t>
        </is>
      </c>
      <c r="I78" s="2" t="inlineStr">
        <is>
          <t>OBSERVED</t>
        </is>
      </c>
      <c r="J78" s="2" t="inlineStr">
        <is>
          <t>Al Seeb renal dialysis center</t>
        </is>
      </c>
      <c r="K78" s="2" t="inlineStr">
        <is>
          <t>2026-08-10</t>
        </is>
      </c>
    </row>
    <row r="79">
      <c r="A79" s="2" t="inlineStr">
        <is>
          <t>SRC-WEB-031</t>
        </is>
      </c>
      <c r="B79" s="2" t="inlineStr">
        <is>
          <t>Oman</t>
        </is>
      </c>
      <c r="C79" s="2" t="inlineStr">
        <is>
          <t>Al Seeb Renal Dialysis Center</t>
        </is>
      </c>
      <c r="D79" s="2" t="inlineStr">
        <is>
          <t>National HCV study in Oman HD facilities</t>
        </is>
      </c>
      <c r="E79" s="2" t="inlineStr">
        <is>
          <t>PMC / peer-reviewed</t>
        </is>
      </c>
      <c r="F79" s="2" t="inlineStr">
        <is>
          <t>Peer-reviewed study</t>
        </is>
      </c>
      <c r="G79" s="2" t="inlineStr">
        <is>
          <t>2023-01-01</t>
        </is>
      </c>
      <c r="H79" s="2" t="inlineStr">
        <is>
          <t>https://pmc.ncbi.nlm.nih.gov/articles/PMC10686920/</t>
        </is>
      </c>
      <c r="I79" s="2" t="inlineStr">
        <is>
          <t>OBSERVED</t>
        </is>
      </c>
      <c r="J79" s="2" t="inlineStr">
        <is>
          <t>Named Oman HD facilities active in study period</t>
        </is>
      </c>
      <c r="K79" s="2" t="inlineStr">
        <is>
          <t>2026-08-10</t>
        </is>
      </c>
    </row>
    <row r="80">
      <c r="A80" s="2" t="inlineStr">
        <is>
          <t>SRC-WEB-033</t>
        </is>
      </c>
      <c r="B80" s="2" t="inlineStr">
        <is>
          <t>Oman</t>
        </is>
      </c>
      <c r="C80" s="2" t="inlineStr">
        <is>
          <t>Al Amerat Renal Dialysis Center</t>
        </is>
      </c>
      <c r="D80" s="2" t="inlineStr">
        <is>
          <t>Al Amerat Renal Dialysis Center opening</t>
        </is>
      </c>
      <c r="E80" s="2" t="inlineStr">
        <is>
          <t>Oman Ministry of Health</t>
        </is>
      </c>
      <c r="F80" s="2" t="inlineStr">
        <is>
          <t>Government news</t>
        </is>
      </c>
      <c r="G80" s="2" t="inlineStr">
        <is>
          <t>2022-03-31</t>
        </is>
      </c>
      <c r="H80" s="2" t="inlineStr">
        <is>
          <t>https://moh.gov.om/en/media-center/news/new-dialysis-center-in-al-amerat-opened/</t>
        </is>
      </c>
      <c r="I80" s="2" t="inlineStr">
        <is>
          <t>OBSERVED</t>
        </is>
      </c>
      <c r="J80" s="2" t="inlineStr">
        <is>
          <t>Al Amerat renal dialysis center and 42 beds</t>
        </is>
      </c>
      <c r="K80" s="2" t="inlineStr">
        <is>
          <t>2026-08-10</t>
        </is>
      </c>
    </row>
    <row r="81">
      <c r="A81" s="2" t="inlineStr">
        <is>
          <t>SRC-WEB-037</t>
        </is>
      </c>
      <c r="B81" s="2" t="inlineStr">
        <is>
          <t>Bahrain</t>
        </is>
      </c>
      <c r="C81" s="2" t="inlineStr">
        <is>
          <t>Abdulrahman Kanoo Dialysis Center</t>
        </is>
      </c>
      <c r="D81" s="2" t="inlineStr">
        <is>
          <t>Bahrain Annual Health Statistics 2021-2022</t>
        </is>
      </c>
      <c r="E81" s="2" t="inlineStr">
        <is>
          <t>Bahrain Ministry of Health</t>
        </is>
      </c>
      <c r="F81" s="2" t="inlineStr">
        <is>
          <t>Government annual report</t>
        </is>
      </c>
      <c r="G81" s="2" t="inlineStr">
        <is>
          <t>2025-01-01</t>
        </is>
      </c>
      <c r="H81" s="2" t="inlineStr">
        <is>
          <t>https://www.moh.gov.bh/Content/Upload/File/638728900890233427-Annual-Health-Statistic-2021-2022--Report_en.pdf</t>
        </is>
      </c>
      <c r="I81" s="2" t="inlineStr">
        <is>
          <t>OBSERVED</t>
        </is>
      </c>
      <c r="J81" s="2" t="inlineStr">
        <is>
          <t>Abdulrahman Kanoo Dialysis Center government dialysis services</t>
        </is>
      </c>
      <c r="K81" s="2" t="inlineStr">
        <is>
          <t>2026-08-10</t>
        </is>
      </c>
    </row>
    <row r="82">
      <c r="A82" s="2" t="inlineStr">
        <is>
          <t>SRC-WEB-038</t>
        </is>
      </c>
      <c r="B82" s="2" t="inlineStr">
        <is>
          <t>Bahrain</t>
        </is>
      </c>
      <c r="C82" s="2" t="inlineStr">
        <is>
          <t>Abdulrahman Kanoo Dialysis Center</t>
        </is>
      </c>
      <c r="D82" s="2" t="inlineStr">
        <is>
          <t>Hemodialysis sleep study at Abdulrahman Kanoo Dialysis Centre</t>
        </is>
      </c>
      <c r="E82" s="2" t="inlineStr">
        <is>
          <t>PLOS One / PMC</t>
        </is>
      </c>
      <c r="F82" s="2" t="inlineStr">
        <is>
          <t>Peer-reviewed study</t>
        </is>
      </c>
      <c r="G82" s="2" t="inlineStr">
        <is>
          <t>2026-06-17</t>
        </is>
      </c>
      <c r="H82" s="2" t="inlineStr">
        <is>
          <t>https://pmc.ncbi.nlm.nih.gov/articles/PMC13274879/</t>
        </is>
      </c>
      <c r="I82" s="2" t="inlineStr">
        <is>
          <t>OBSERVED</t>
        </is>
      </c>
      <c r="J82" s="2" t="inlineStr">
        <is>
          <t>Abdulrahman Kanoo Dialysis Centre HD and 48 beds</t>
        </is>
      </c>
      <c r="K82" s="2" t="inlineStr">
        <is>
          <t>2026-08-10</t>
        </is>
      </c>
    </row>
    <row r="83">
      <c r="A83" s="2" t="inlineStr">
        <is>
          <t>SRC-WEB-039</t>
        </is>
      </c>
      <c r="B83" s="2" t="inlineStr">
        <is>
          <t>Bahrain</t>
        </is>
      </c>
      <c r="C83" s="2" t="inlineStr">
        <is>
          <t>Salmaniya Medical Complex</t>
        </is>
      </c>
      <c r="D83" s="2" t="inlineStr">
        <is>
          <t>Quality of Life in Hemodialysis Versus Peritoneal Dialysis Patients</t>
        </is>
      </c>
      <c r="E83" s="2" t="inlineStr">
        <is>
          <t>PMC / peer-reviewed</t>
        </is>
      </c>
      <c r="F83" s="2" t="inlineStr">
        <is>
          <t>Peer-reviewed study</t>
        </is>
      </c>
      <c r="G83" s="2" t="inlineStr">
        <is>
          <t>2023-01-01</t>
        </is>
      </c>
      <c r="H83" s="2" t="inlineStr">
        <is>
          <t>https://pmc.ncbi.nlm.nih.gov/articles/PMC10750137/</t>
        </is>
      </c>
      <c r="I83" s="2" t="inlineStr">
        <is>
          <t>OBSERVED</t>
        </is>
      </c>
      <c r="J83" s="2" t="inlineStr">
        <is>
          <t>Salmaniya Medical Complex HD/PD activity</t>
        </is>
      </c>
      <c r="K83" s="2" t="inlineStr">
        <is>
          <t>2026-08-10</t>
        </is>
      </c>
    </row>
    <row r="84">
      <c r="A84" s="2" t="inlineStr">
        <is>
          <t>SRC-WEB-040</t>
        </is>
      </c>
      <c r="B84" s="2" t="inlineStr">
        <is>
          <t>Jordan</t>
        </is>
      </c>
      <c r="C84" s="2" t="inlineStr">
        <is>
          <t>King Abdullah University Hospital</t>
        </is>
      </c>
      <c r="D84" s="2" t="inlineStr">
        <is>
          <t>Nationwide HBV study among Jordanian HD patients</t>
        </is>
      </c>
      <c r="E84" s="2" t="inlineStr">
        <is>
          <t>PMC / peer-reviewed</t>
        </is>
      </c>
      <c r="F84" s="2" t="inlineStr">
        <is>
          <t>Peer-reviewed multicenter study</t>
        </is>
      </c>
      <c r="G84" s="2" t="inlineStr">
        <is>
          <t>2024-01-01</t>
        </is>
      </c>
      <c r="H84" s="2" t="inlineStr">
        <is>
          <t>https://pmc.ncbi.nlm.nih.gov/articles/PMC11486397/</t>
        </is>
      </c>
      <c r="I84" s="2" t="inlineStr">
        <is>
          <t>OBSERVED</t>
        </is>
      </c>
      <c r="J84" s="2" t="inlineStr">
        <is>
          <t>Seven Jordanian hospitals with HD units</t>
        </is>
      </c>
      <c r="K84" s="2" t="inlineStr">
        <is>
          <t>2026-08-10</t>
        </is>
      </c>
    </row>
    <row r="85">
      <c r="A85" s="2" t="inlineStr">
        <is>
          <t>SRC-WEB-041</t>
        </is>
      </c>
      <c r="B85" s="2" t="inlineStr">
        <is>
          <t>Jordan</t>
        </is>
      </c>
      <c r="C85" s="2" t="inlineStr">
        <is>
          <t>King Abdullah University Hospital</t>
        </is>
      </c>
      <c r="D85" s="2" t="inlineStr">
        <is>
          <t>Predictors of poor HRQoL among HD patients in Jordan</t>
        </is>
      </c>
      <c r="E85" s="2" t="inlineStr">
        <is>
          <t>PMC / peer-reviewed</t>
        </is>
      </c>
      <c r="F85" s="2" t="inlineStr">
        <is>
          <t>Peer-reviewed multicenter study</t>
        </is>
      </c>
      <c r="G85" s="2" t="inlineStr">
        <is>
          <t>2021-01-01</t>
        </is>
      </c>
      <c r="H85" s="2" t="inlineStr">
        <is>
          <t>https://pmc.ncbi.nlm.nih.gov/articles/PMC8709968/</t>
        </is>
      </c>
      <c r="I85" s="2" t="inlineStr">
        <is>
          <t>OBSERVED</t>
        </is>
      </c>
      <c r="J85" s="2" t="inlineStr">
        <is>
          <t>KAUH, JUH, Princess Basma, Al-Ramtha HD clinics</t>
        </is>
      </c>
      <c r="K85" s="2" t="inlineStr">
        <is>
          <t>2026-08-10</t>
        </is>
      </c>
    </row>
    <row r="86">
      <c r="A86" s="2" t="inlineStr">
        <is>
          <t>SRC-WEB-040</t>
        </is>
      </c>
      <c r="B86" s="2" t="inlineStr">
        <is>
          <t>Jordan</t>
        </is>
      </c>
      <c r="C86" s="2" t="inlineStr">
        <is>
          <t>Jordan University Hospital</t>
        </is>
      </c>
      <c r="D86" s="2" t="inlineStr">
        <is>
          <t>Nationwide HBV study among Jordanian HD patients</t>
        </is>
      </c>
      <c r="E86" s="2" t="inlineStr">
        <is>
          <t>PMC / peer-reviewed</t>
        </is>
      </c>
      <c r="F86" s="2" t="inlineStr">
        <is>
          <t>Peer-reviewed multicenter study</t>
        </is>
      </c>
      <c r="G86" s="2" t="inlineStr">
        <is>
          <t>2024-01-01</t>
        </is>
      </c>
      <c r="H86" s="2" t="inlineStr">
        <is>
          <t>https://pmc.ncbi.nlm.nih.gov/articles/PMC11486397/</t>
        </is>
      </c>
      <c r="I86" s="2" t="inlineStr">
        <is>
          <t>OBSERVED</t>
        </is>
      </c>
      <c r="J86" s="2" t="inlineStr">
        <is>
          <t>Seven Jordanian hospitals with HD units</t>
        </is>
      </c>
      <c r="K86" s="2" t="inlineStr">
        <is>
          <t>2026-08-10</t>
        </is>
      </c>
    </row>
    <row r="87">
      <c r="A87" s="2" t="inlineStr">
        <is>
          <t>SRC-WEB-041</t>
        </is>
      </c>
      <c r="B87" s="2" t="inlineStr">
        <is>
          <t>Jordan</t>
        </is>
      </c>
      <c r="C87" s="2" t="inlineStr">
        <is>
          <t>Jordan University Hospital</t>
        </is>
      </c>
      <c r="D87" s="2" t="inlineStr">
        <is>
          <t>Predictors of poor HRQoL among HD patients in Jordan</t>
        </is>
      </c>
      <c r="E87" s="2" t="inlineStr">
        <is>
          <t>PMC / peer-reviewed</t>
        </is>
      </c>
      <c r="F87" s="2" t="inlineStr">
        <is>
          <t>Peer-reviewed multicenter study</t>
        </is>
      </c>
      <c r="G87" s="2" t="inlineStr">
        <is>
          <t>2021-01-01</t>
        </is>
      </c>
      <c r="H87" s="2" t="inlineStr">
        <is>
          <t>https://pmc.ncbi.nlm.nih.gov/articles/PMC8709968/</t>
        </is>
      </c>
      <c r="I87" s="2" t="inlineStr">
        <is>
          <t>OBSERVED</t>
        </is>
      </c>
      <c r="J87" s="2" t="inlineStr">
        <is>
          <t>KAUH, JUH, Princess Basma, Al-Ramtha HD clinics</t>
        </is>
      </c>
      <c r="K87" s="2" t="inlineStr">
        <is>
          <t>2026-08-10</t>
        </is>
      </c>
    </row>
    <row r="88">
      <c r="A88" s="2" t="inlineStr">
        <is>
          <t>SRC-WEB-042</t>
        </is>
      </c>
      <c r="B88" s="2" t="inlineStr">
        <is>
          <t>Jordan</t>
        </is>
      </c>
      <c r="C88" s="2" t="inlineStr">
        <is>
          <t>Jordan University Hospital</t>
        </is>
      </c>
      <c r="D88" s="2" t="inlineStr">
        <is>
          <t>AF prevalence in Jordanian hemodialysis patients</t>
        </is>
      </c>
      <c r="E88" s="2" t="inlineStr">
        <is>
          <t>PMC / peer-reviewed</t>
        </is>
      </c>
      <c r="F88" s="2" t="inlineStr">
        <is>
          <t>Peer-reviewed multicenter study</t>
        </is>
      </c>
      <c r="G88" s="2" t="inlineStr">
        <is>
          <t>2020-04-01</t>
        </is>
      </c>
      <c r="H88" s="2" t="inlineStr">
        <is>
          <t>https://pmc.ncbi.nlm.nih.gov/articles/PMC7175504/</t>
        </is>
      </c>
      <c r="I88" s="2" t="inlineStr">
        <is>
          <t>OBSERVED</t>
        </is>
      </c>
      <c r="J88" s="2" t="inlineStr">
        <is>
          <t>Jordan University Hospital, Al-Essra, Al-Bashir and Islamic Hospital HD centers</t>
        </is>
      </c>
      <c r="K88" s="2" t="inlineStr">
        <is>
          <t>2026-08-10</t>
        </is>
      </c>
    </row>
    <row r="89">
      <c r="A89" s="2" t="inlineStr">
        <is>
          <t>SRC-WEB-043</t>
        </is>
      </c>
      <c r="B89" s="2" t="inlineStr">
        <is>
          <t>Jordan</t>
        </is>
      </c>
      <c r="C89" s="2" t="inlineStr">
        <is>
          <t>Jordan University Hospital</t>
        </is>
      </c>
      <c r="D89" s="2" t="inlineStr">
        <is>
          <t>Prince Hamza Hospital HD unit study</t>
        </is>
      </c>
      <c r="E89" s="2" t="inlineStr">
        <is>
          <t>PMC / peer-reviewed</t>
        </is>
      </c>
      <c r="F89" s="2" t="inlineStr">
        <is>
          <t>Peer-reviewed single-center study</t>
        </is>
      </c>
      <c r="G89" s="2" t="inlineStr">
        <is>
          <t>2025-01-01</t>
        </is>
      </c>
      <c r="H89" s="2" t="inlineStr">
        <is>
          <t>https://pmc.ncbi.nlm.nih.gov/articles/PMC11700451/</t>
        </is>
      </c>
      <c r="I89" s="2" t="inlineStr">
        <is>
          <t>OBSERVED</t>
        </is>
      </c>
      <c r="J89" s="2" t="inlineStr">
        <is>
          <t>Prince Hamza Hospital dialysis unit</t>
        </is>
      </c>
      <c r="K89" s="2" t="inlineStr">
        <is>
          <t>2026-08-10</t>
        </is>
      </c>
    </row>
    <row r="90">
      <c r="A90" s="2" t="inlineStr">
        <is>
          <t>SRC-WEB-040</t>
        </is>
      </c>
      <c r="B90" s="2" t="inlineStr">
        <is>
          <t>Jordan</t>
        </is>
      </c>
      <c r="C90" s="2" t="inlineStr">
        <is>
          <t>Princess Basma Hospital</t>
        </is>
      </c>
      <c r="D90" s="2" t="inlineStr">
        <is>
          <t>Nationwide HBV study among Jordanian HD patients</t>
        </is>
      </c>
      <c r="E90" s="2" t="inlineStr">
        <is>
          <t>PMC / peer-reviewed</t>
        </is>
      </c>
      <c r="F90" s="2" t="inlineStr">
        <is>
          <t>Peer-reviewed multicenter study</t>
        </is>
      </c>
      <c r="G90" s="2" t="inlineStr">
        <is>
          <t>2024-01-01</t>
        </is>
      </c>
      <c r="H90" s="2" t="inlineStr">
        <is>
          <t>https://pmc.ncbi.nlm.nih.gov/articles/PMC11486397/</t>
        </is>
      </c>
      <c r="I90" s="2" t="inlineStr">
        <is>
          <t>OBSERVED</t>
        </is>
      </c>
      <c r="J90" s="2" t="inlineStr">
        <is>
          <t>Seven Jordanian hospitals with HD units</t>
        </is>
      </c>
      <c r="K90" s="2" t="inlineStr">
        <is>
          <t>2026-08-10</t>
        </is>
      </c>
    </row>
    <row r="91">
      <c r="A91" s="2" t="inlineStr">
        <is>
          <t>SRC-WEB-041</t>
        </is>
      </c>
      <c r="B91" s="2" t="inlineStr">
        <is>
          <t>Jordan</t>
        </is>
      </c>
      <c r="C91" s="2" t="inlineStr">
        <is>
          <t>Princess Basma Hospital</t>
        </is>
      </c>
      <c r="D91" s="2" t="inlineStr">
        <is>
          <t>Predictors of poor HRQoL among HD patients in Jordan</t>
        </is>
      </c>
      <c r="E91" s="2" t="inlineStr">
        <is>
          <t>PMC / peer-reviewed</t>
        </is>
      </c>
      <c r="F91" s="2" t="inlineStr">
        <is>
          <t>Peer-reviewed multicenter study</t>
        </is>
      </c>
      <c r="G91" s="2" t="inlineStr">
        <is>
          <t>2021-01-01</t>
        </is>
      </c>
      <c r="H91" s="2" t="inlineStr">
        <is>
          <t>https://pmc.ncbi.nlm.nih.gov/articles/PMC8709968/</t>
        </is>
      </c>
      <c r="I91" s="2" t="inlineStr">
        <is>
          <t>OBSERVED</t>
        </is>
      </c>
      <c r="J91" s="2" t="inlineStr">
        <is>
          <t>KAUH, JUH, Princess Basma, Al-Ramtha HD clinics</t>
        </is>
      </c>
      <c r="K91" s="2" t="inlineStr">
        <is>
          <t>2026-08-10</t>
        </is>
      </c>
    </row>
    <row r="92">
      <c r="A92" s="2" t="inlineStr">
        <is>
          <t>SRC-WEB-041</t>
        </is>
      </c>
      <c r="B92" s="2" t="inlineStr">
        <is>
          <t>Jordan</t>
        </is>
      </c>
      <c r="C92" s="2" t="inlineStr">
        <is>
          <t>Al-Ramtha Governmental Hospital</t>
        </is>
      </c>
      <c r="D92" s="2" t="inlineStr">
        <is>
          <t>Predictors of poor HRQoL among HD patients in Jordan</t>
        </is>
      </c>
      <c r="E92" s="2" t="inlineStr">
        <is>
          <t>PMC / peer-reviewed</t>
        </is>
      </c>
      <c r="F92" s="2" t="inlineStr">
        <is>
          <t>Peer-reviewed multicenter study</t>
        </is>
      </c>
      <c r="G92" s="2" t="inlineStr">
        <is>
          <t>2021-01-01</t>
        </is>
      </c>
      <c r="H92" s="2" t="inlineStr">
        <is>
          <t>https://pmc.ncbi.nlm.nih.gov/articles/PMC8709968/</t>
        </is>
      </c>
      <c r="I92" s="2" t="inlineStr">
        <is>
          <t>OBSERVED</t>
        </is>
      </c>
      <c r="J92" s="2" t="inlineStr">
        <is>
          <t>KAUH, JUH, Princess Basma, Al-Ramtha HD clinics</t>
        </is>
      </c>
      <c r="K92" s="2" t="inlineStr">
        <is>
          <t>2026-08-10</t>
        </is>
      </c>
    </row>
    <row r="93">
      <c r="A93" s="2" t="inlineStr">
        <is>
          <t>SRC-WEB-040</t>
        </is>
      </c>
      <c r="B93" s="2" t="inlineStr">
        <is>
          <t>Jordan</t>
        </is>
      </c>
      <c r="C93" s="2" t="inlineStr">
        <is>
          <t>Al-Hussein / Salt Hospital</t>
        </is>
      </c>
      <c r="D93" s="2" t="inlineStr">
        <is>
          <t>Nationwide HBV study among Jordanian HD patients</t>
        </is>
      </c>
      <c r="E93" s="2" t="inlineStr">
        <is>
          <t>PMC / peer-reviewed</t>
        </is>
      </c>
      <c r="F93" s="2" t="inlineStr">
        <is>
          <t>Peer-reviewed multicenter study</t>
        </is>
      </c>
      <c r="G93" s="2" t="inlineStr">
        <is>
          <t>2024-01-01</t>
        </is>
      </c>
      <c r="H93" s="2" t="inlineStr">
        <is>
          <t>https://pmc.ncbi.nlm.nih.gov/articles/PMC11486397/</t>
        </is>
      </c>
      <c r="I93" s="2" t="inlineStr">
        <is>
          <t>OBSERVED</t>
        </is>
      </c>
      <c r="J93" s="2" t="inlineStr">
        <is>
          <t>Seven Jordanian hospitals with HD units</t>
        </is>
      </c>
      <c r="K93" s="2" t="inlineStr">
        <is>
          <t>2026-08-10</t>
        </is>
      </c>
    </row>
    <row r="94">
      <c r="A94" s="2" t="inlineStr">
        <is>
          <t>SRC-WEB-040</t>
        </is>
      </c>
      <c r="B94" s="2" t="inlineStr">
        <is>
          <t>Jordan</t>
        </is>
      </c>
      <c r="C94" s="2" t="inlineStr">
        <is>
          <t>Al-Bashir Hospitals</t>
        </is>
      </c>
      <c r="D94" s="2" t="inlineStr">
        <is>
          <t>Nationwide HBV study among Jordanian HD patients</t>
        </is>
      </c>
      <c r="E94" s="2" t="inlineStr">
        <is>
          <t>PMC / peer-reviewed</t>
        </is>
      </c>
      <c r="F94" s="2" t="inlineStr">
        <is>
          <t>Peer-reviewed multicenter study</t>
        </is>
      </c>
      <c r="G94" s="2" t="inlineStr">
        <is>
          <t>2024-01-01</t>
        </is>
      </c>
      <c r="H94" s="2" t="inlineStr">
        <is>
          <t>https://pmc.ncbi.nlm.nih.gov/articles/PMC11486397/</t>
        </is>
      </c>
      <c r="I94" s="2" t="inlineStr">
        <is>
          <t>OBSERVED</t>
        </is>
      </c>
      <c r="J94" s="2" t="inlineStr">
        <is>
          <t>Seven Jordanian hospitals with HD units</t>
        </is>
      </c>
      <c r="K94" s="2" t="inlineStr">
        <is>
          <t>2026-08-10</t>
        </is>
      </c>
    </row>
    <row r="95">
      <c r="A95" s="2" t="inlineStr">
        <is>
          <t>SRC-WEB-042</t>
        </is>
      </c>
      <c r="B95" s="2" t="inlineStr">
        <is>
          <t>Jordan</t>
        </is>
      </c>
      <c r="C95" s="2" t="inlineStr">
        <is>
          <t>Al-Bashir Hospitals</t>
        </is>
      </c>
      <c r="D95" s="2" t="inlineStr">
        <is>
          <t>AF prevalence in Jordanian hemodialysis patients</t>
        </is>
      </c>
      <c r="E95" s="2" t="inlineStr">
        <is>
          <t>PMC / peer-reviewed</t>
        </is>
      </c>
      <c r="F95" s="2" t="inlineStr">
        <is>
          <t>Peer-reviewed multicenter study</t>
        </is>
      </c>
      <c r="G95" s="2" t="inlineStr">
        <is>
          <t>2020-04-01</t>
        </is>
      </c>
      <c r="H95" s="2" t="inlineStr">
        <is>
          <t>https://pmc.ncbi.nlm.nih.gov/articles/PMC7175504/</t>
        </is>
      </c>
      <c r="I95" s="2" t="inlineStr">
        <is>
          <t>OBSERVED</t>
        </is>
      </c>
      <c r="J95" s="2" t="inlineStr">
        <is>
          <t>Jordan University Hospital, Al-Essra, Al-Bashir and Islamic Hospital HD centers</t>
        </is>
      </c>
      <c r="K95" s="2" t="inlineStr">
        <is>
          <t>2026-08-10</t>
        </is>
      </c>
    </row>
    <row r="96">
      <c r="A96" s="2" t="inlineStr">
        <is>
          <t>SRC-WEB-040</t>
        </is>
      </c>
      <c r="B96" s="2" t="inlineStr">
        <is>
          <t>Jordan</t>
        </is>
      </c>
      <c r="C96" s="2" t="inlineStr">
        <is>
          <t>Al-Nadeem Hospital</t>
        </is>
      </c>
      <c r="D96" s="2" t="inlineStr">
        <is>
          <t>Nationwide HBV study among Jordanian HD patients</t>
        </is>
      </c>
      <c r="E96" s="2" t="inlineStr">
        <is>
          <t>PMC / peer-reviewed</t>
        </is>
      </c>
      <c r="F96" s="2" t="inlineStr">
        <is>
          <t>Peer-reviewed multicenter study</t>
        </is>
      </c>
      <c r="G96" s="2" t="inlineStr">
        <is>
          <t>2024-01-01</t>
        </is>
      </c>
      <c r="H96" s="2" t="inlineStr">
        <is>
          <t>https://pmc.ncbi.nlm.nih.gov/articles/PMC11486397/</t>
        </is>
      </c>
      <c r="I96" s="2" t="inlineStr">
        <is>
          <t>OBSERVED</t>
        </is>
      </c>
      <c r="J96" s="2" t="inlineStr">
        <is>
          <t>Seven Jordanian hospitals with HD units</t>
        </is>
      </c>
      <c r="K96" s="2" t="inlineStr">
        <is>
          <t>2026-08-10</t>
        </is>
      </c>
    </row>
    <row r="97">
      <c r="A97" s="2" t="inlineStr">
        <is>
          <t>SRC-WEB-040</t>
        </is>
      </c>
      <c r="B97" s="2" t="inlineStr">
        <is>
          <t>Jordan</t>
        </is>
      </c>
      <c r="C97" s="2" t="inlineStr">
        <is>
          <t>Al-Zarqa Hospital</t>
        </is>
      </c>
      <c r="D97" s="2" t="inlineStr">
        <is>
          <t>Nationwide HBV study among Jordanian HD patients</t>
        </is>
      </c>
      <c r="E97" s="2" t="inlineStr">
        <is>
          <t>PMC / peer-reviewed</t>
        </is>
      </c>
      <c r="F97" s="2" t="inlineStr">
        <is>
          <t>Peer-reviewed multicenter study</t>
        </is>
      </c>
      <c r="G97" s="2" t="inlineStr">
        <is>
          <t>2024-01-01</t>
        </is>
      </c>
      <c r="H97" s="2" t="inlineStr">
        <is>
          <t>https://pmc.ncbi.nlm.nih.gov/articles/PMC11486397/</t>
        </is>
      </c>
      <c r="I97" s="2" t="inlineStr">
        <is>
          <t>OBSERVED</t>
        </is>
      </c>
      <c r="J97" s="2" t="inlineStr">
        <is>
          <t>Seven Jordanian hospitals with HD units</t>
        </is>
      </c>
      <c r="K97" s="2" t="inlineStr">
        <is>
          <t>2026-08-10</t>
        </is>
      </c>
    </row>
    <row r="98">
      <c r="A98" s="2" t="inlineStr">
        <is>
          <t>SRC-WEB-040</t>
        </is>
      </c>
      <c r="B98" s="2" t="inlineStr">
        <is>
          <t>Jordan</t>
        </is>
      </c>
      <c r="C98" s="2" t="inlineStr">
        <is>
          <t>Prince Hamza Hospital</t>
        </is>
      </c>
      <c r="D98" s="2" t="inlineStr">
        <is>
          <t>Nationwide HBV study among Jordanian HD patients</t>
        </is>
      </c>
      <c r="E98" s="2" t="inlineStr">
        <is>
          <t>PMC / peer-reviewed</t>
        </is>
      </c>
      <c r="F98" s="2" t="inlineStr">
        <is>
          <t>Peer-reviewed multicenter study</t>
        </is>
      </c>
      <c r="G98" s="2" t="inlineStr">
        <is>
          <t>2024-01-01</t>
        </is>
      </c>
      <c r="H98" s="2" t="inlineStr">
        <is>
          <t>https://pmc.ncbi.nlm.nih.gov/articles/PMC11486397/</t>
        </is>
      </c>
      <c r="I98" s="2" t="inlineStr">
        <is>
          <t>OBSERVED</t>
        </is>
      </c>
      <c r="J98" s="2" t="inlineStr">
        <is>
          <t>Seven Jordanian hospitals with HD units</t>
        </is>
      </c>
      <c r="K98" s="2" t="inlineStr">
        <is>
          <t>2026-08-10</t>
        </is>
      </c>
    </row>
    <row r="99">
      <c r="A99" s="2" t="inlineStr">
        <is>
          <t>SRC-WEB-043</t>
        </is>
      </c>
      <c r="B99" s="2" t="inlineStr">
        <is>
          <t>Jordan</t>
        </is>
      </c>
      <c r="C99" s="2" t="inlineStr">
        <is>
          <t>Prince Hamza Hospital</t>
        </is>
      </c>
      <c r="D99" s="2" t="inlineStr">
        <is>
          <t>Prince Hamza Hospital HD unit study</t>
        </is>
      </c>
      <c r="E99" s="2" t="inlineStr">
        <is>
          <t>PMC / peer-reviewed</t>
        </is>
      </c>
      <c r="F99" s="2" t="inlineStr">
        <is>
          <t>Peer-reviewed single-center study</t>
        </is>
      </c>
      <c r="G99" s="2" t="inlineStr">
        <is>
          <t>2025-01-01</t>
        </is>
      </c>
      <c r="H99" s="2" t="inlineStr">
        <is>
          <t>https://pmc.ncbi.nlm.nih.gov/articles/PMC11700451/</t>
        </is>
      </c>
      <c r="I99" s="2" t="inlineStr">
        <is>
          <t>OBSERVED</t>
        </is>
      </c>
      <c r="J99" s="2" t="inlineStr">
        <is>
          <t>Prince Hamza Hospital dialysis unit</t>
        </is>
      </c>
      <c r="K99" s="2" t="inlineStr">
        <is>
          <t>2026-08-10</t>
        </is>
      </c>
    </row>
    <row r="100">
      <c r="A100" s="2" t="inlineStr">
        <is>
          <t>SRC-WEB-042</t>
        </is>
      </c>
      <c r="B100" s="2" t="inlineStr">
        <is>
          <t>Jordan</t>
        </is>
      </c>
      <c r="C100" s="2" t="inlineStr">
        <is>
          <t>King Hussein Medical Center</t>
        </is>
      </c>
      <c r="D100" s="2" t="inlineStr">
        <is>
          <t>AF prevalence in Jordanian hemodialysis patients</t>
        </is>
      </c>
      <c r="E100" s="2" t="inlineStr">
        <is>
          <t>PMC / peer-reviewed</t>
        </is>
      </c>
      <c r="F100" s="2" t="inlineStr">
        <is>
          <t>Peer-reviewed multicenter study</t>
        </is>
      </c>
      <c r="G100" s="2" t="inlineStr">
        <is>
          <t>2020-04-01</t>
        </is>
      </c>
      <c r="H100" s="2" t="inlineStr">
        <is>
          <t>https://pmc.ncbi.nlm.nih.gov/articles/PMC7175504/</t>
        </is>
      </c>
      <c r="I100" s="2" t="inlineStr">
        <is>
          <t>OBSERVED</t>
        </is>
      </c>
      <c r="J100" s="2" t="inlineStr">
        <is>
          <t>Jordan University Hospital, Al-Essra, Al-Bashir and Islamic Hospital HD centers</t>
        </is>
      </c>
      <c r="K100" s="2" t="inlineStr">
        <is>
          <t>2026-08-10</t>
        </is>
      </c>
    </row>
    <row r="101">
      <c r="A101" s="2" t="inlineStr">
        <is>
          <t>SRC-WEB-006</t>
        </is>
      </c>
      <c r="B101" s="2" t="inlineStr">
        <is>
          <t>Saudi Arabia</t>
        </is>
      </c>
      <c r="C101" s="2" t="inlineStr">
        <is>
          <t>King Hussein Medical Center</t>
        </is>
      </c>
      <c r="D101" s="2" t="inlineStr">
        <is>
          <t>Riyadh: Rowaidat Al-Ardh Hospital dialysis sessions</t>
        </is>
      </c>
      <c r="E101" s="2" t="inlineStr">
        <is>
          <t>Saudi Ministry of Health</t>
        </is>
      </c>
      <c r="F101" s="2" t="inlineStr">
        <is>
          <t>Government report/news</t>
        </is>
      </c>
      <c r="G101" s="2" t="inlineStr">
        <is>
          <t>2018-07-01</t>
        </is>
      </c>
      <c r="H101" s="2" t="inlineStr">
        <is>
          <t>https://www.moh.gov.sa/en/ministry/mediacenter/news/pages/news-2018-01-07-0004.aspx</t>
        </is>
      </c>
      <c r="I101" s="2" t="inlineStr">
        <is>
          <t>OBSERVED</t>
        </is>
      </c>
      <c r="J101" s="2" t="inlineStr">
        <is>
          <t>Rowaidat Al-Ardh Hospital dialysis activity</t>
        </is>
      </c>
      <c r="K101" s="2" t="inlineStr">
        <is>
          <t>2026-08-10</t>
        </is>
      </c>
    </row>
    <row r="102">
      <c r="A102" s="2" t="inlineStr">
        <is>
          <t>SRC-WEB-046</t>
        </is>
      </c>
      <c r="B102" s="2" t="inlineStr">
        <is>
          <t>Lebanon</t>
        </is>
      </c>
      <c r="C102" s="2" t="inlineStr">
        <is>
          <t>Abou Jaoude Hospital</t>
        </is>
      </c>
      <c r="D102" s="2" t="inlineStr">
        <is>
          <t>Lebanese national HD COVID study</t>
        </is>
      </c>
      <c r="E102" s="2" t="inlineStr">
        <is>
          <t>PMC / peer-reviewed</t>
        </is>
      </c>
      <c r="F102" s="2" t="inlineStr">
        <is>
          <t>Peer-reviewed national study</t>
        </is>
      </c>
      <c r="G102" s="2" t="inlineStr">
        <is>
          <t>2021-01-01</t>
        </is>
      </c>
      <c r="H102" s="2" t="inlineStr">
        <is>
          <t>https://pmc.ncbi.nlm.nih.gov/articles/PMC7912967/</t>
        </is>
      </c>
      <c r="I102" s="2" t="inlineStr">
        <is>
          <t>OBSERVED</t>
        </is>
      </c>
      <c r="J102" s="2" t="inlineStr">
        <is>
          <t>Named Lebanese hospitals participating in HD cohort</t>
        </is>
      </c>
      <c r="K102" s="2" t="inlineStr">
        <is>
          <t>2026-08-10</t>
        </is>
      </c>
    </row>
    <row r="103">
      <c r="A103" s="2" t="inlineStr">
        <is>
          <t>SRC-WEB-046</t>
        </is>
      </c>
      <c r="B103" s="2" t="inlineStr">
        <is>
          <t>Lebanon</t>
        </is>
      </c>
      <c r="C103" s="2" t="inlineStr">
        <is>
          <t>Labib Hospital</t>
        </is>
      </c>
      <c r="D103" s="2" t="inlineStr">
        <is>
          <t>Lebanese national HD COVID study</t>
        </is>
      </c>
      <c r="E103" s="2" t="inlineStr">
        <is>
          <t>PMC / peer-reviewed</t>
        </is>
      </c>
      <c r="F103" s="2" t="inlineStr">
        <is>
          <t>Peer-reviewed national study</t>
        </is>
      </c>
      <c r="G103" s="2" t="inlineStr">
        <is>
          <t>2021-01-01</t>
        </is>
      </c>
      <c r="H103" s="2" t="inlineStr">
        <is>
          <t>https://pmc.ncbi.nlm.nih.gov/articles/PMC7912967/</t>
        </is>
      </c>
      <c r="I103" s="2" t="inlineStr">
        <is>
          <t>OBSERVED</t>
        </is>
      </c>
      <c r="J103" s="2" t="inlineStr">
        <is>
          <t>Named Lebanese hospitals participating in HD cohort</t>
        </is>
      </c>
      <c r="K103" s="2" t="inlineStr">
        <is>
          <t>2026-08-10</t>
        </is>
      </c>
    </row>
    <row r="104">
      <c r="A104" s="2" t="inlineStr">
        <is>
          <t>SRC-WEB-046</t>
        </is>
      </c>
      <c r="B104" s="2" t="inlineStr">
        <is>
          <t>Lebanon</t>
        </is>
      </c>
      <c r="C104" s="2" t="inlineStr">
        <is>
          <t>Khoury Hospital</t>
        </is>
      </c>
      <c r="D104" s="2" t="inlineStr">
        <is>
          <t>Lebanese national HD COVID study</t>
        </is>
      </c>
      <c r="E104" s="2" t="inlineStr">
        <is>
          <t>PMC / peer-reviewed</t>
        </is>
      </c>
      <c r="F104" s="2" t="inlineStr">
        <is>
          <t>Peer-reviewed national study</t>
        </is>
      </c>
      <c r="G104" s="2" t="inlineStr">
        <is>
          <t>2021-01-01</t>
        </is>
      </c>
      <c r="H104" s="2" t="inlineStr">
        <is>
          <t>https://pmc.ncbi.nlm.nih.gov/articles/PMC7912967/</t>
        </is>
      </c>
      <c r="I104" s="2" t="inlineStr">
        <is>
          <t>OBSERVED</t>
        </is>
      </c>
      <c r="J104" s="2" t="inlineStr">
        <is>
          <t>Named Lebanese hospitals participating in HD cohort</t>
        </is>
      </c>
      <c r="K104" s="2" t="inlineStr">
        <is>
          <t>2026-08-10</t>
        </is>
      </c>
    </row>
    <row r="105">
      <c r="A105" s="2" t="inlineStr">
        <is>
          <t>SRC-WEB-046</t>
        </is>
      </c>
      <c r="B105" s="2" t="inlineStr">
        <is>
          <t>Lebanon</t>
        </is>
      </c>
      <c r="C105" s="2" t="inlineStr">
        <is>
          <t>Hammoud Hospital University Medical Center</t>
        </is>
      </c>
      <c r="D105" s="2" t="inlineStr">
        <is>
          <t>Lebanese national HD COVID study</t>
        </is>
      </c>
      <c r="E105" s="2" t="inlineStr">
        <is>
          <t>PMC / peer-reviewed</t>
        </is>
      </c>
      <c r="F105" s="2" t="inlineStr">
        <is>
          <t>Peer-reviewed national study</t>
        </is>
      </c>
      <c r="G105" s="2" t="inlineStr">
        <is>
          <t>2021-01-01</t>
        </is>
      </c>
      <c r="H105" s="2" t="inlineStr">
        <is>
          <t>https://pmc.ncbi.nlm.nih.gov/articles/PMC7912967/</t>
        </is>
      </c>
      <c r="I105" s="2" t="inlineStr">
        <is>
          <t>OBSERVED</t>
        </is>
      </c>
      <c r="J105" s="2" t="inlineStr">
        <is>
          <t>Named Lebanese hospitals participating in HD cohort</t>
        </is>
      </c>
      <c r="K105" s="2" t="inlineStr">
        <is>
          <t>2026-08-10</t>
        </is>
      </c>
    </row>
    <row r="106">
      <c r="A106" s="2" t="inlineStr">
        <is>
          <t>SRC-WEB-047</t>
        </is>
      </c>
      <c r="B106" s="2" t="inlineStr">
        <is>
          <t>Lebanon</t>
        </is>
      </c>
      <c r="C106" s="2" t="inlineStr">
        <is>
          <t>Hammoud Hospital University Medical Center</t>
        </is>
      </c>
      <c r="D106" s="2" t="inlineStr">
        <is>
          <t>Multicenter hemodialysis trial in Lebanon</t>
        </is>
      </c>
      <c r="E106" s="2" t="inlineStr">
        <is>
          <t>PMC / peer-reviewed</t>
        </is>
      </c>
      <c r="F106" s="2" t="inlineStr">
        <is>
          <t>Peer-reviewed multicenter trial</t>
        </is>
      </c>
      <c r="G106" s="2" t="inlineStr">
        <is>
          <t>2025-01-01</t>
        </is>
      </c>
      <c r="H106" s="2" t="inlineStr">
        <is>
          <t>https://pmc.ncbi.nlm.nih.gov/articles/PMC11972488/</t>
        </is>
      </c>
      <c r="I106" s="2" t="inlineStr">
        <is>
          <t>OBSERVED</t>
        </is>
      </c>
      <c r="J106" s="2" t="inlineStr">
        <is>
          <t>Named Lebanese hospitals with HD units</t>
        </is>
      </c>
      <c r="K106" s="2" t="inlineStr">
        <is>
          <t>2026-08-10</t>
        </is>
      </c>
    </row>
    <row r="107">
      <c r="A107" s="2" t="inlineStr">
        <is>
          <t>SRC-WEB-046</t>
        </is>
      </c>
      <c r="B107" s="2" t="inlineStr">
        <is>
          <t>Lebanon</t>
        </is>
      </c>
      <c r="C107" s="2" t="inlineStr">
        <is>
          <t>FMC Hospital</t>
        </is>
      </c>
      <c r="D107" s="2" t="inlineStr">
        <is>
          <t>Lebanese national HD COVID study</t>
        </is>
      </c>
      <c r="E107" s="2" t="inlineStr">
        <is>
          <t>PMC / peer-reviewed</t>
        </is>
      </c>
      <c r="F107" s="2" t="inlineStr">
        <is>
          <t>Peer-reviewed national study</t>
        </is>
      </c>
      <c r="G107" s="2" t="inlineStr">
        <is>
          <t>2021-01-01</t>
        </is>
      </c>
      <c r="H107" s="2" t="inlineStr">
        <is>
          <t>https://pmc.ncbi.nlm.nih.gov/articles/PMC7912967/</t>
        </is>
      </c>
      <c r="I107" s="2" t="inlineStr">
        <is>
          <t>OBSERVED</t>
        </is>
      </c>
      <c r="J107" s="2" t="inlineStr">
        <is>
          <t>Named Lebanese hospitals participating in HD cohort</t>
        </is>
      </c>
      <c r="K107" s="2" t="inlineStr">
        <is>
          <t>2026-08-10</t>
        </is>
      </c>
    </row>
    <row r="108">
      <c r="A108" s="2" t="inlineStr">
        <is>
          <t>SRC-WEB-046</t>
        </is>
      </c>
      <c r="B108" s="2" t="inlineStr">
        <is>
          <t>Lebanon</t>
        </is>
      </c>
      <c r="C108" s="2" t="inlineStr">
        <is>
          <t>Sahel Hospital</t>
        </is>
      </c>
      <c r="D108" s="2" t="inlineStr">
        <is>
          <t>Lebanese national HD COVID study</t>
        </is>
      </c>
      <c r="E108" s="2" t="inlineStr">
        <is>
          <t>PMC / peer-reviewed</t>
        </is>
      </c>
      <c r="F108" s="2" t="inlineStr">
        <is>
          <t>Peer-reviewed national study</t>
        </is>
      </c>
      <c r="G108" s="2" t="inlineStr">
        <is>
          <t>2021-01-01</t>
        </is>
      </c>
      <c r="H108" s="2" t="inlineStr">
        <is>
          <t>https://pmc.ncbi.nlm.nih.gov/articles/PMC7912967/</t>
        </is>
      </c>
      <c r="I108" s="2" t="inlineStr">
        <is>
          <t>OBSERVED</t>
        </is>
      </c>
      <c r="J108" s="2" t="inlineStr">
        <is>
          <t>Named Lebanese hospitals participating in HD cohort</t>
        </is>
      </c>
      <c r="K108" s="2" t="inlineStr">
        <is>
          <t>2026-08-10</t>
        </is>
      </c>
    </row>
    <row r="109">
      <c r="A109" s="2" t="inlineStr">
        <is>
          <t>SRC-WEB-046</t>
        </is>
      </c>
      <c r="B109" s="2" t="inlineStr">
        <is>
          <t>Lebanon</t>
        </is>
      </c>
      <c r="C109" s="2" t="inlineStr">
        <is>
          <t>Beit Chabeb Hospital</t>
        </is>
      </c>
      <c r="D109" s="2" t="inlineStr">
        <is>
          <t>Lebanese national HD COVID study</t>
        </is>
      </c>
      <c r="E109" s="2" t="inlineStr">
        <is>
          <t>PMC / peer-reviewed</t>
        </is>
      </c>
      <c r="F109" s="2" t="inlineStr">
        <is>
          <t>Peer-reviewed national study</t>
        </is>
      </c>
      <c r="G109" s="2" t="inlineStr">
        <is>
          <t>2021-01-01</t>
        </is>
      </c>
      <c r="H109" s="2" t="inlineStr">
        <is>
          <t>https://pmc.ncbi.nlm.nih.gov/articles/PMC7912967/</t>
        </is>
      </c>
      <c r="I109" s="2" t="inlineStr">
        <is>
          <t>OBSERVED</t>
        </is>
      </c>
      <c r="J109" s="2" t="inlineStr">
        <is>
          <t>Named Lebanese hospitals participating in HD cohort</t>
        </is>
      </c>
      <c r="K109" s="2" t="inlineStr">
        <is>
          <t>2026-08-10</t>
        </is>
      </c>
    </row>
    <row r="110">
      <c r="A110" s="2" t="inlineStr">
        <is>
          <t>SRC-WEB-046</t>
        </is>
      </c>
      <c r="B110" s="2" t="inlineStr">
        <is>
          <t>Lebanon</t>
        </is>
      </c>
      <c r="C110" s="2" t="inlineStr">
        <is>
          <t>Saint-Georges Orthodoxe Hospital</t>
        </is>
      </c>
      <c r="D110" s="2" t="inlineStr">
        <is>
          <t>Lebanese national HD COVID study</t>
        </is>
      </c>
      <c r="E110" s="2" t="inlineStr">
        <is>
          <t>PMC / peer-reviewed</t>
        </is>
      </c>
      <c r="F110" s="2" t="inlineStr">
        <is>
          <t>Peer-reviewed national study</t>
        </is>
      </c>
      <c r="G110" s="2" t="inlineStr">
        <is>
          <t>2021-01-01</t>
        </is>
      </c>
      <c r="H110" s="2" t="inlineStr">
        <is>
          <t>https://pmc.ncbi.nlm.nih.gov/articles/PMC7912967/</t>
        </is>
      </c>
      <c r="I110" s="2" t="inlineStr">
        <is>
          <t>OBSERVED</t>
        </is>
      </c>
      <c r="J110" s="2" t="inlineStr">
        <is>
          <t>Named Lebanese hospitals participating in HD cohort</t>
        </is>
      </c>
      <c r="K110" s="2" t="inlineStr">
        <is>
          <t>2026-08-10</t>
        </is>
      </c>
    </row>
    <row r="111">
      <c r="A111" s="2" t="inlineStr">
        <is>
          <t>SRC-WEB-046</t>
        </is>
      </c>
      <c r="B111" s="2" t="inlineStr">
        <is>
          <t>Lebanon</t>
        </is>
      </c>
      <c r="C111" s="2" t="inlineStr">
        <is>
          <t>Rahal Hospital</t>
        </is>
      </c>
      <c r="D111" s="2" t="inlineStr">
        <is>
          <t>Lebanese national HD COVID study</t>
        </is>
      </c>
      <c r="E111" s="2" t="inlineStr">
        <is>
          <t>PMC / peer-reviewed</t>
        </is>
      </c>
      <c r="F111" s="2" t="inlineStr">
        <is>
          <t>Peer-reviewed national study</t>
        </is>
      </c>
      <c r="G111" s="2" t="inlineStr">
        <is>
          <t>2021-01-01</t>
        </is>
      </c>
      <c r="H111" s="2" t="inlineStr">
        <is>
          <t>https://pmc.ncbi.nlm.nih.gov/articles/PMC7912967/</t>
        </is>
      </c>
      <c r="I111" s="2" t="inlineStr">
        <is>
          <t>OBSERVED</t>
        </is>
      </c>
      <c r="J111" s="2" t="inlineStr">
        <is>
          <t>Named Lebanese hospitals participating in HD cohort</t>
        </is>
      </c>
      <c r="K111" s="2" t="inlineStr">
        <is>
          <t>2026-08-10</t>
        </is>
      </c>
    </row>
    <row r="112">
      <c r="A112" s="2" t="inlineStr">
        <is>
          <t>SRC-WEB-046</t>
        </is>
      </c>
      <c r="B112" s="2" t="inlineStr">
        <is>
          <t>Lebanon</t>
        </is>
      </c>
      <c r="C112" s="2" t="inlineStr">
        <is>
          <t>Jabal Amel Hospital</t>
        </is>
      </c>
      <c r="D112" s="2" t="inlineStr">
        <is>
          <t>Lebanese national HD COVID study</t>
        </is>
      </c>
      <c r="E112" s="2" t="inlineStr">
        <is>
          <t>PMC / peer-reviewed</t>
        </is>
      </c>
      <c r="F112" s="2" t="inlineStr">
        <is>
          <t>Peer-reviewed national study</t>
        </is>
      </c>
      <c r="G112" s="2" t="inlineStr">
        <is>
          <t>2021-01-01</t>
        </is>
      </c>
      <c r="H112" s="2" t="inlineStr">
        <is>
          <t>https://pmc.ncbi.nlm.nih.gov/articles/PMC7912967/</t>
        </is>
      </c>
      <c r="I112" s="2" t="inlineStr">
        <is>
          <t>OBSERVED</t>
        </is>
      </c>
      <c r="J112" s="2" t="inlineStr">
        <is>
          <t>Named Lebanese hospitals participating in HD cohort</t>
        </is>
      </c>
      <c r="K112" s="2" t="inlineStr">
        <is>
          <t>2026-08-10</t>
        </is>
      </c>
    </row>
    <row r="113">
      <c r="A113" s="2" t="inlineStr">
        <is>
          <t>SRC-WEB-046</t>
        </is>
      </c>
      <c r="B113" s="2" t="inlineStr">
        <is>
          <t>Lebanon</t>
        </is>
      </c>
      <c r="C113" s="2" t="inlineStr">
        <is>
          <t>Dinnieh Hospital</t>
        </is>
      </c>
      <c r="D113" s="2" t="inlineStr">
        <is>
          <t>Lebanese national HD COVID study</t>
        </is>
      </c>
      <c r="E113" s="2" t="inlineStr">
        <is>
          <t>PMC / peer-reviewed</t>
        </is>
      </c>
      <c r="F113" s="2" t="inlineStr">
        <is>
          <t>Peer-reviewed national study</t>
        </is>
      </c>
      <c r="G113" s="2" t="inlineStr">
        <is>
          <t>2021-01-01</t>
        </is>
      </c>
      <c r="H113" s="2" t="inlineStr">
        <is>
          <t>https://pmc.ncbi.nlm.nih.gov/articles/PMC7912967/</t>
        </is>
      </c>
      <c r="I113" s="2" t="inlineStr">
        <is>
          <t>OBSERVED</t>
        </is>
      </c>
      <c r="J113" s="2" t="inlineStr">
        <is>
          <t>Named Lebanese hospitals participating in HD cohort</t>
        </is>
      </c>
      <c r="K113" s="2" t="inlineStr">
        <is>
          <t>2026-08-10</t>
        </is>
      </c>
    </row>
    <row r="114">
      <c r="A114" s="2" t="inlineStr">
        <is>
          <t>SRC-WEB-046</t>
        </is>
      </c>
      <c r="B114" s="2" t="inlineStr">
        <is>
          <t>Lebanon</t>
        </is>
      </c>
      <c r="C114" s="2" t="inlineStr">
        <is>
          <t>Haroun Hospital</t>
        </is>
      </c>
      <c r="D114" s="2" t="inlineStr">
        <is>
          <t>Lebanese national HD COVID study</t>
        </is>
      </c>
      <c r="E114" s="2" t="inlineStr">
        <is>
          <t>PMC / peer-reviewed</t>
        </is>
      </c>
      <c r="F114" s="2" t="inlineStr">
        <is>
          <t>Peer-reviewed national study</t>
        </is>
      </c>
      <c r="G114" s="2" t="inlineStr">
        <is>
          <t>2021-01-01</t>
        </is>
      </c>
      <c r="H114" s="2" t="inlineStr">
        <is>
          <t>https://pmc.ncbi.nlm.nih.gov/articles/PMC7912967/</t>
        </is>
      </c>
      <c r="I114" s="2" t="inlineStr">
        <is>
          <t>OBSERVED</t>
        </is>
      </c>
      <c r="J114" s="2" t="inlineStr">
        <is>
          <t>Named Lebanese hospitals participating in HD cohort</t>
        </is>
      </c>
      <c r="K114" s="2" t="inlineStr">
        <is>
          <t>2026-08-10</t>
        </is>
      </c>
    </row>
    <row r="115">
      <c r="A115" s="2" t="inlineStr">
        <is>
          <t>SRC-WEB-046</t>
        </is>
      </c>
      <c r="B115" s="2" t="inlineStr">
        <is>
          <t>Lebanon</t>
        </is>
      </c>
      <c r="C115" s="2" t="inlineStr">
        <is>
          <t>Centre Hospitalier Universitaire Notre Dame de Secours</t>
        </is>
      </c>
      <c r="D115" s="2" t="inlineStr">
        <is>
          <t>Lebanese national HD COVID study</t>
        </is>
      </c>
      <c r="E115" s="2" t="inlineStr">
        <is>
          <t>PMC / peer-reviewed</t>
        </is>
      </c>
      <c r="F115" s="2" t="inlineStr">
        <is>
          <t>Peer-reviewed national study</t>
        </is>
      </c>
      <c r="G115" s="2" t="inlineStr">
        <is>
          <t>2021-01-01</t>
        </is>
      </c>
      <c r="H115" s="2" t="inlineStr">
        <is>
          <t>https://pmc.ncbi.nlm.nih.gov/articles/PMC7912967/</t>
        </is>
      </c>
      <c r="I115" s="2" t="inlineStr">
        <is>
          <t>OBSERVED</t>
        </is>
      </c>
      <c r="J115" s="2" t="inlineStr">
        <is>
          <t>Named Lebanese hospitals participating in HD cohort</t>
        </is>
      </c>
      <c r="K115" s="2" t="inlineStr">
        <is>
          <t>2026-08-10</t>
        </is>
      </c>
    </row>
    <row r="116">
      <c r="A116" s="2" t="inlineStr">
        <is>
          <t>SRC-WEB-046</t>
        </is>
      </c>
      <c r="B116" s="2" t="inlineStr">
        <is>
          <t>Lebanon</t>
        </is>
      </c>
      <c r="C116" s="2" t="inlineStr">
        <is>
          <t>Sacre-Coeur Hospital</t>
        </is>
      </c>
      <c r="D116" s="2" t="inlineStr">
        <is>
          <t>Lebanese national HD COVID study</t>
        </is>
      </c>
      <c r="E116" s="2" t="inlineStr">
        <is>
          <t>PMC / peer-reviewed</t>
        </is>
      </c>
      <c r="F116" s="2" t="inlineStr">
        <is>
          <t>Peer-reviewed national study</t>
        </is>
      </c>
      <c r="G116" s="2" t="inlineStr">
        <is>
          <t>2021-01-01</t>
        </is>
      </c>
      <c r="H116" s="2" t="inlineStr">
        <is>
          <t>https://pmc.ncbi.nlm.nih.gov/articles/PMC7912967/</t>
        </is>
      </c>
      <c r="I116" s="2" t="inlineStr">
        <is>
          <t>OBSERVED</t>
        </is>
      </c>
      <c r="J116" s="2" t="inlineStr">
        <is>
          <t>Named Lebanese hospitals participating in HD cohort</t>
        </is>
      </c>
      <c r="K116" s="2" t="inlineStr">
        <is>
          <t>2026-08-10</t>
        </is>
      </c>
    </row>
    <row r="117">
      <c r="A117" s="2" t="inlineStr">
        <is>
          <t>SRC-WEB-046</t>
        </is>
      </c>
      <c r="B117" s="2" t="inlineStr">
        <is>
          <t>Lebanon</t>
        </is>
      </c>
      <c r="C117" s="2" t="inlineStr">
        <is>
          <t>Middle-East Institute of Health</t>
        </is>
      </c>
      <c r="D117" s="2" t="inlineStr">
        <is>
          <t>Lebanese national HD COVID study</t>
        </is>
      </c>
      <c r="E117" s="2" t="inlineStr">
        <is>
          <t>PMC / peer-reviewed</t>
        </is>
      </c>
      <c r="F117" s="2" t="inlineStr">
        <is>
          <t>Peer-reviewed national study</t>
        </is>
      </c>
      <c r="G117" s="2" t="inlineStr">
        <is>
          <t>2021-01-01</t>
        </is>
      </c>
      <c r="H117" s="2" t="inlineStr">
        <is>
          <t>https://pmc.ncbi.nlm.nih.gov/articles/PMC7912967/</t>
        </is>
      </c>
      <c r="I117" s="2" t="inlineStr">
        <is>
          <t>OBSERVED</t>
        </is>
      </c>
      <c r="J117" s="2" t="inlineStr">
        <is>
          <t>Named Lebanese hospitals participating in HD cohort</t>
        </is>
      </c>
      <c r="K117" s="2" t="inlineStr">
        <is>
          <t>2026-08-10</t>
        </is>
      </c>
    </row>
    <row r="118">
      <c r="A118" s="2" t="inlineStr">
        <is>
          <t>SRC-WEB-046</t>
        </is>
      </c>
      <c r="B118" s="2" t="inlineStr">
        <is>
          <t>Lebanon</t>
        </is>
      </c>
      <c r="C118" s="2" t="inlineStr">
        <is>
          <t>Saint-Joseph Hospital</t>
        </is>
      </c>
      <c r="D118" s="2" t="inlineStr">
        <is>
          <t>Lebanese national HD COVID study</t>
        </is>
      </c>
      <c r="E118" s="2" t="inlineStr">
        <is>
          <t>PMC / peer-reviewed</t>
        </is>
      </c>
      <c r="F118" s="2" t="inlineStr">
        <is>
          <t>Peer-reviewed national study</t>
        </is>
      </c>
      <c r="G118" s="2" t="inlineStr">
        <is>
          <t>2021-01-01</t>
        </is>
      </c>
      <c r="H118" s="2" t="inlineStr">
        <is>
          <t>https://pmc.ncbi.nlm.nih.gov/articles/PMC7912967/</t>
        </is>
      </c>
      <c r="I118" s="2" t="inlineStr">
        <is>
          <t>OBSERVED</t>
        </is>
      </c>
      <c r="J118" s="2" t="inlineStr">
        <is>
          <t>Named Lebanese hospitals participating in HD cohort</t>
        </is>
      </c>
      <c r="K118" s="2" t="inlineStr">
        <is>
          <t>2026-08-10</t>
        </is>
      </c>
    </row>
    <row r="119">
      <c r="A119" s="2" t="inlineStr">
        <is>
          <t>SRC-WEB-046</t>
        </is>
      </c>
      <c r="B119" s="2" t="inlineStr">
        <is>
          <t>Lebanon</t>
        </is>
      </c>
      <c r="C119" s="2" t="inlineStr">
        <is>
          <t>Bellevue Medical Center</t>
        </is>
      </c>
      <c r="D119" s="2" t="inlineStr">
        <is>
          <t>Lebanese national HD COVID study</t>
        </is>
      </c>
      <c r="E119" s="2" t="inlineStr">
        <is>
          <t>PMC / peer-reviewed</t>
        </is>
      </c>
      <c r="F119" s="2" t="inlineStr">
        <is>
          <t>Peer-reviewed national study</t>
        </is>
      </c>
      <c r="G119" s="2" t="inlineStr">
        <is>
          <t>2021-01-01</t>
        </is>
      </c>
      <c r="H119" s="2" t="inlineStr">
        <is>
          <t>https://pmc.ncbi.nlm.nih.gov/articles/PMC7912967/</t>
        </is>
      </c>
      <c r="I119" s="2" t="inlineStr">
        <is>
          <t>OBSERVED</t>
        </is>
      </c>
      <c r="J119" s="2" t="inlineStr">
        <is>
          <t>Named Lebanese hospitals participating in HD cohort</t>
        </is>
      </c>
      <c r="K119" s="2" t="inlineStr">
        <is>
          <t>2026-08-10</t>
        </is>
      </c>
    </row>
    <row r="120">
      <c r="A120" s="2" t="inlineStr">
        <is>
          <t>SRC-WEB-047</t>
        </is>
      </c>
      <c r="B120" s="2" t="inlineStr">
        <is>
          <t>Lebanon</t>
        </is>
      </c>
      <c r="C120" s="2" t="inlineStr">
        <is>
          <t>Bellevue Medical Center</t>
        </is>
      </c>
      <c r="D120" s="2" t="inlineStr">
        <is>
          <t>Multicenter hemodialysis trial in Lebanon</t>
        </is>
      </c>
      <c r="E120" s="2" t="inlineStr">
        <is>
          <t>PMC / peer-reviewed</t>
        </is>
      </c>
      <c r="F120" s="2" t="inlineStr">
        <is>
          <t>Peer-reviewed multicenter trial</t>
        </is>
      </c>
      <c r="G120" s="2" t="inlineStr">
        <is>
          <t>2025-01-01</t>
        </is>
      </c>
      <c r="H120" s="2" t="inlineStr">
        <is>
          <t>https://pmc.ncbi.nlm.nih.gov/articles/PMC11972488/</t>
        </is>
      </c>
      <c r="I120" s="2" t="inlineStr">
        <is>
          <t>OBSERVED</t>
        </is>
      </c>
      <c r="J120" s="2" t="inlineStr">
        <is>
          <t>Named Lebanese hospitals with HD units</t>
        </is>
      </c>
      <c r="K120" s="2" t="inlineStr">
        <is>
          <t>2026-08-10</t>
        </is>
      </c>
    </row>
    <row r="121">
      <c r="A121" s="2" t="inlineStr">
        <is>
          <t>SRC-WEB-048</t>
        </is>
      </c>
      <c r="B121" s="2" t="inlineStr">
        <is>
          <t>Lebanon</t>
        </is>
      </c>
      <c r="C121" s="2" t="inlineStr">
        <is>
          <t>Bellevue Medical Center</t>
        </is>
      </c>
      <c r="D121" s="2" t="inlineStr">
        <is>
          <t>Routine laboratory testing in Lebanese HD units</t>
        </is>
      </c>
      <c r="E121" s="2" t="inlineStr">
        <is>
          <t>PMC / peer-reviewed</t>
        </is>
      </c>
      <c r="F121" s="2" t="inlineStr">
        <is>
          <t>Peer-reviewed multicenter study</t>
        </is>
      </c>
      <c r="G121" s="2" t="inlineStr">
        <is>
          <t>2022-01-01</t>
        </is>
      </c>
      <c r="H121" s="2" t="inlineStr">
        <is>
          <t>https://pmc.ncbi.nlm.nih.gov/articles/PMC9615394/</t>
        </is>
      </c>
      <c r="I121" s="2" t="inlineStr">
        <is>
          <t>OBSERVED</t>
        </is>
      </c>
      <c r="J121" s="2" t="inlineStr">
        <is>
          <t>HDF, Saint-Georges Ajaltoun and Bellevue HD units</t>
        </is>
      </c>
      <c r="K121" s="2" t="inlineStr">
        <is>
          <t>2026-08-10</t>
        </is>
      </c>
    </row>
    <row r="122">
      <c r="A122" s="2" t="inlineStr">
        <is>
          <t>SRC-WEB-046</t>
        </is>
      </c>
      <c r="B122" s="2" t="inlineStr">
        <is>
          <t>Lebanon</t>
        </is>
      </c>
      <c r="C122" s="2" t="inlineStr">
        <is>
          <t>Hayek Hospital</t>
        </is>
      </c>
      <c r="D122" s="2" t="inlineStr">
        <is>
          <t>Lebanese national HD COVID study</t>
        </is>
      </c>
      <c r="E122" s="2" t="inlineStr">
        <is>
          <t>PMC / peer-reviewed</t>
        </is>
      </c>
      <c r="F122" s="2" t="inlineStr">
        <is>
          <t>Peer-reviewed national study</t>
        </is>
      </c>
      <c r="G122" s="2" t="inlineStr">
        <is>
          <t>2021-01-01</t>
        </is>
      </c>
      <c r="H122" s="2" t="inlineStr">
        <is>
          <t>https://pmc.ncbi.nlm.nih.gov/articles/PMC7912967/</t>
        </is>
      </c>
      <c r="I122" s="2" t="inlineStr">
        <is>
          <t>OBSERVED</t>
        </is>
      </c>
      <c r="J122" s="2" t="inlineStr">
        <is>
          <t>Named Lebanese hospitals participating in HD cohort</t>
        </is>
      </c>
      <c r="K122" s="2" t="inlineStr">
        <is>
          <t>2026-08-10</t>
        </is>
      </c>
    </row>
    <row r="123">
      <c r="A123" s="2" t="inlineStr">
        <is>
          <t>SRC-WEB-047</t>
        </is>
      </c>
      <c r="B123" s="2" t="inlineStr">
        <is>
          <t>Lebanon</t>
        </is>
      </c>
      <c r="C123" s="2" t="inlineStr">
        <is>
          <t>Orange Nassau Hospital</t>
        </is>
      </c>
      <c r="D123" s="2" t="inlineStr">
        <is>
          <t>Multicenter hemodialysis trial in Lebanon</t>
        </is>
      </c>
      <c r="E123" s="2" t="inlineStr">
        <is>
          <t>PMC / peer-reviewed</t>
        </is>
      </c>
      <c r="F123" s="2" t="inlineStr">
        <is>
          <t>Peer-reviewed multicenter trial</t>
        </is>
      </c>
      <c r="G123" s="2" t="inlineStr">
        <is>
          <t>2025-01-01</t>
        </is>
      </c>
      <c r="H123" s="2" t="inlineStr">
        <is>
          <t>https://pmc.ncbi.nlm.nih.gov/articles/PMC11972488/</t>
        </is>
      </c>
      <c r="I123" s="2" t="inlineStr">
        <is>
          <t>OBSERVED</t>
        </is>
      </c>
      <c r="J123" s="2" t="inlineStr">
        <is>
          <t>Named Lebanese hospitals with HD units</t>
        </is>
      </c>
      <c r="K123" s="2" t="inlineStr">
        <is>
          <t>2026-08-10</t>
        </is>
      </c>
    </row>
    <row r="124">
      <c r="A124" s="2" t="inlineStr">
        <is>
          <t>SRC-WEB-047</t>
        </is>
      </c>
      <c r="B124" s="2" t="inlineStr">
        <is>
          <t>Lebanon</t>
        </is>
      </c>
      <c r="C124" s="2" t="inlineStr">
        <is>
          <t>Islamic Charity Hospital</t>
        </is>
      </c>
      <c r="D124" s="2" t="inlineStr">
        <is>
          <t>Multicenter hemodialysis trial in Lebanon</t>
        </is>
      </c>
      <c r="E124" s="2" t="inlineStr">
        <is>
          <t>PMC / peer-reviewed</t>
        </is>
      </c>
      <c r="F124" s="2" t="inlineStr">
        <is>
          <t>Peer-reviewed multicenter trial</t>
        </is>
      </c>
      <c r="G124" s="2" t="inlineStr">
        <is>
          <t>2025-01-01</t>
        </is>
      </c>
      <c r="H124" s="2" t="inlineStr">
        <is>
          <t>https://pmc.ncbi.nlm.nih.gov/articles/PMC11972488/</t>
        </is>
      </c>
      <c r="I124" s="2" t="inlineStr">
        <is>
          <t>OBSERVED</t>
        </is>
      </c>
      <c r="J124" s="2" t="inlineStr">
        <is>
          <t>Named Lebanese hospitals with HD units</t>
        </is>
      </c>
      <c r="K124" s="2" t="inlineStr">
        <is>
          <t>2026-08-10</t>
        </is>
      </c>
    </row>
    <row r="125">
      <c r="A125" s="2" t="inlineStr">
        <is>
          <t>SRC-WEB-047</t>
        </is>
      </c>
      <c r="B125" s="2" t="inlineStr">
        <is>
          <t>Lebanon</t>
        </is>
      </c>
      <c r="C125" s="2" t="inlineStr">
        <is>
          <t>Saint-George Ajaltoun Hospital</t>
        </is>
      </c>
      <c r="D125" s="2" t="inlineStr">
        <is>
          <t>Multicenter hemodialysis trial in Lebanon</t>
        </is>
      </c>
      <c r="E125" s="2" t="inlineStr">
        <is>
          <t>PMC / peer-reviewed</t>
        </is>
      </c>
      <c r="F125" s="2" t="inlineStr">
        <is>
          <t>Peer-reviewed multicenter trial</t>
        </is>
      </c>
      <c r="G125" s="2" t="inlineStr">
        <is>
          <t>2025-01-01</t>
        </is>
      </c>
      <c r="H125" s="2" t="inlineStr">
        <is>
          <t>https://pmc.ncbi.nlm.nih.gov/articles/PMC11972488/</t>
        </is>
      </c>
      <c r="I125" s="2" t="inlineStr">
        <is>
          <t>OBSERVED</t>
        </is>
      </c>
      <c r="J125" s="2" t="inlineStr">
        <is>
          <t>Named Lebanese hospitals with HD units</t>
        </is>
      </c>
      <c r="K125" s="2" t="inlineStr">
        <is>
          <t>2026-08-10</t>
        </is>
      </c>
    </row>
    <row r="126">
      <c r="A126" s="2" t="inlineStr">
        <is>
          <t>SRC-WEB-048</t>
        </is>
      </c>
      <c r="B126" s="2" t="inlineStr">
        <is>
          <t>Lebanon</t>
        </is>
      </c>
      <c r="C126" s="2" t="inlineStr">
        <is>
          <t>Saint-George Ajaltoun Hospital</t>
        </is>
      </c>
      <c r="D126" s="2" t="inlineStr">
        <is>
          <t>Routine laboratory testing in Lebanese HD units</t>
        </is>
      </c>
      <c r="E126" s="2" t="inlineStr">
        <is>
          <t>PMC / peer-reviewed</t>
        </is>
      </c>
      <c r="F126" s="2" t="inlineStr">
        <is>
          <t>Peer-reviewed multicenter study</t>
        </is>
      </c>
      <c r="G126" s="2" t="inlineStr">
        <is>
          <t>2022-01-01</t>
        </is>
      </c>
      <c r="H126" s="2" t="inlineStr">
        <is>
          <t>https://pmc.ncbi.nlm.nih.gov/articles/PMC9615394/</t>
        </is>
      </c>
      <c r="I126" s="2" t="inlineStr">
        <is>
          <t>OBSERVED</t>
        </is>
      </c>
      <c r="J126" s="2" t="inlineStr">
        <is>
          <t>HDF, Saint-Georges Ajaltoun and Bellevue HD units</t>
        </is>
      </c>
      <c r="K126" s="2" t="inlineStr">
        <is>
          <t>2026-08-10</t>
        </is>
      </c>
    </row>
    <row r="127">
      <c r="A127" s="2" t="inlineStr">
        <is>
          <t>SRC-WEB-047</t>
        </is>
      </c>
      <c r="B127" s="2" t="inlineStr">
        <is>
          <t>Lebanon</t>
        </is>
      </c>
      <c r="C127" s="2" t="inlineStr">
        <is>
          <t>Centre Hospitalier du Nord</t>
        </is>
      </c>
      <c r="D127" s="2" t="inlineStr">
        <is>
          <t>Multicenter hemodialysis trial in Lebanon</t>
        </is>
      </c>
      <c r="E127" s="2" t="inlineStr">
        <is>
          <t>PMC / peer-reviewed</t>
        </is>
      </c>
      <c r="F127" s="2" t="inlineStr">
        <is>
          <t>Peer-reviewed multicenter trial</t>
        </is>
      </c>
      <c r="G127" s="2" t="inlineStr">
        <is>
          <t>2025-01-01</t>
        </is>
      </c>
      <c r="H127" s="2" t="inlineStr">
        <is>
          <t>https://pmc.ncbi.nlm.nih.gov/articles/PMC11972488/</t>
        </is>
      </c>
      <c r="I127" s="2" t="inlineStr">
        <is>
          <t>OBSERVED</t>
        </is>
      </c>
      <c r="J127" s="2" t="inlineStr">
        <is>
          <t>Named Lebanese hospitals with HD units</t>
        </is>
      </c>
      <c r="K127" s="2" t="inlineStr">
        <is>
          <t>2026-08-10</t>
        </is>
      </c>
    </row>
    <row r="128">
      <c r="A128" s="2" t="inlineStr">
        <is>
          <t>SRC-WEB-047</t>
        </is>
      </c>
      <c r="B128" s="2" t="inlineStr">
        <is>
          <t>Lebanon</t>
        </is>
      </c>
      <c r="C128" s="2" t="inlineStr">
        <is>
          <t>Ain Wazein Medical Village</t>
        </is>
      </c>
      <c r="D128" s="2" t="inlineStr">
        <is>
          <t>Multicenter hemodialysis trial in Lebanon</t>
        </is>
      </c>
      <c r="E128" s="2" t="inlineStr">
        <is>
          <t>PMC / peer-reviewed</t>
        </is>
      </c>
      <c r="F128" s="2" t="inlineStr">
        <is>
          <t>Peer-reviewed multicenter trial</t>
        </is>
      </c>
      <c r="G128" s="2" t="inlineStr">
        <is>
          <t>2025-01-01</t>
        </is>
      </c>
      <c r="H128" s="2" t="inlineStr">
        <is>
          <t>https://pmc.ncbi.nlm.nih.gov/articles/PMC11972488/</t>
        </is>
      </c>
      <c r="I128" s="2" t="inlineStr">
        <is>
          <t>OBSERVED</t>
        </is>
      </c>
      <c r="J128" s="2" t="inlineStr">
        <is>
          <t>Named Lebanese hospitals with HD units</t>
        </is>
      </c>
      <c r="K128" s="2" t="inlineStr">
        <is>
          <t>2026-08-10</t>
        </is>
      </c>
    </row>
    <row r="129">
      <c r="A129" s="2" t="inlineStr">
        <is>
          <t>SRC-WEB-047</t>
        </is>
      </c>
      <c r="B129" s="2" t="inlineStr">
        <is>
          <t>Lebanon</t>
        </is>
      </c>
      <c r="C129" s="2" t="inlineStr">
        <is>
          <t>Bhannes Hospital</t>
        </is>
      </c>
      <c r="D129" s="2" t="inlineStr">
        <is>
          <t>Multicenter hemodialysis trial in Lebanon</t>
        </is>
      </c>
      <c r="E129" s="2" t="inlineStr">
        <is>
          <t>PMC / peer-reviewed</t>
        </is>
      </c>
      <c r="F129" s="2" t="inlineStr">
        <is>
          <t>Peer-reviewed multicenter trial</t>
        </is>
      </c>
      <c r="G129" s="2" t="inlineStr">
        <is>
          <t>2025-01-01</t>
        </is>
      </c>
      <c r="H129" s="2" t="inlineStr">
        <is>
          <t>https://pmc.ncbi.nlm.nih.gov/articles/PMC11972488/</t>
        </is>
      </c>
      <c r="I129" s="2" t="inlineStr">
        <is>
          <t>OBSERVED</t>
        </is>
      </c>
      <c r="J129" s="2" t="inlineStr">
        <is>
          <t>Named Lebanese hospitals with HD units</t>
        </is>
      </c>
      <c r="K129" s="2" t="inlineStr">
        <is>
          <t>2026-08-10</t>
        </is>
      </c>
    </row>
    <row r="130">
      <c r="A130" s="2" t="inlineStr">
        <is>
          <t>SRC-WEB-047</t>
        </is>
      </c>
      <c r="B130" s="2" t="inlineStr">
        <is>
          <t>Lebanon</t>
        </is>
      </c>
      <c r="C130" s="2" t="inlineStr">
        <is>
          <t>Saint George Hospital University Medical Center</t>
        </is>
      </c>
      <c r="D130" s="2" t="inlineStr">
        <is>
          <t>Multicenter hemodialysis trial in Lebanon</t>
        </is>
      </c>
      <c r="E130" s="2" t="inlineStr">
        <is>
          <t>PMC / peer-reviewed</t>
        </is>
      </c>
      <c r="F130" s="2" t="inlineStr">
        <is>
          <t>Peer-reviewed multicenter trial</t>
        </is>
      </c>
      <c r="G130" s="2" t="inlineStr">
        <is>
          <t>2025-01-01</t>
        </is>
      </c>
      <c r="H130" s="2" t="inlineStr">
        <is>
          <t>https://pmc.ncbi.nlm.nih.gov/articles/PMC11972488/</t>
        </is>
      </c>
      <c r="I130" s="2" t="inlineStr">
        <is>
          <t>OBSERVED</t>
        </is>
      </c>
      <c r="J130" s="2" t="inlineStr">
        <is>
          <t>Named Lebanese hospitals with HD units</t>
        </is>
      </c>
      <c r="K130" s="2" t="inlineStr">
        <is>
          <t>2026-08-10</t>
        </is>
      </c>
    </row>
    <row r="131">
      <c r="A131" s="2" t="inlineStr">
        <is>
          <t>SRC-WEB-051</t>
        </is>
      </c>
      <c r="B131" s="2" t="inlineStr">
        <is>
          <t>Iraq</t>
        </is>
      </c>
      <c r="C131" s="2" t="inlineStr">
        <is>
          <t>Al-Kindy Teaching Hospital</t>
        </is>
      </c>
      <c r="D131" s="2" t="inlineStr">
        <is>
          <t>Current status of hemodialysis in Baghdad</t>
        </is>
      </c>
      <c r="E131" s="2" t="inlineStr">
        <is>
          <t>PubMed / Saudi J Kidney Dis Transpl</t>
        </is>
      </c>
      <c r="F131" s="2" t="inlineStr">
        <is>
          <t>Peer-reviewed study</t>
        </is>
      </c>
      <c r="G131" s="2" t="inlineStr">
        <is>
          <t>2011-03-01</t>
        </is>
      </c>
      <c r="H131" s="2" t="inlineStr">
        <is>
          <t>https://pubmed.ncbi.nlm.nih.gov/21422648/</t>
        </is>
      </c>
      <c r="I131" s="2" t="inlineStr">
        <is>
          <t>OBSERVED</t>
        </is>
      </c>
      <c r="J131" s="2" t="inlineStr">
        <is>
          <t>Al-Kindy Teaching Hospital and five major Baghdad hospitals with HD</t>
        </is>
      </c>
      <c r="K131" s="2" t="inlineStr">
        <is>
          <t>2026-08-10</t>
        </is>
      </c>
    </row>
    <row r="132">
      <c r="A132" s="2" t="inlineStr">
        <is>
          <t>SRC-WEB-050</t>
        </is>
      </c>
      <c r="B132" s="2" t="inlineStr">
        <is>
          <t>Iraq</t>
        </is>
      </c>
      <c r="C132" s="2" t="inlineStr">
        <is>
          <t>Baghdad Teaching Hospital - Medical City</t>
        </is>
      </c>
      <c r="D132" s="2" t="inlineStr">
        <is>
          <t>Current status of hemodialysis in Iraq</t>
        </is>
      </c>
      <c r="E132" s="2" t="inlineStr">
        <is>
          <t>Iraqi National Journal of Medicine</t>
        </is>
      </c>
      <c r="F132" s="2" t="inlineStr">
        <is>
          <t>Peer-reviewed national study</t>
        </is>
      </c>
      <c r="G132" s="2" t="inlineStr">
        <is>
          <t>2025-01-16</t>
        </is>
      </c>
      <c r="H132" s="2" t="inlineStr">
        <is>
          <t>https://iqnjm.com/index.php/homepage/article/view/187</t>
        </is>
      </c>
      <c r="I132" s="2" t="inlineStr">
        <is>
          <t>OBSERVED</t>
        </is>
      </c>
      <c r="J132" s="2" t="inlineStr">
        <is>
          <t>2023 HD patients across all Iraqi governorates</t>
        </is>
      </c>
      <c r="K132" s="2" t="inlineStr">
        <is>
          <t>2026-08-10</t>
        </is>
      </c>
    </row>
    <row r="133">
      <c r="A133" s="2" t="inlineStr">
        <is>
          <t>SRC-WEB-050</t>
        </is>
      </c>
      <c r="B133" s="2" t="inlineStr">
        <is>
          <t>Iraq</t>
        </is>
      </c>
      <c r="C133" s="2" t="inlineStr">
        <is>
          <t>Alnuman Teaching Hospital</t>
        </is>
      </c>
      <c r="D133" s="2" t="inlineStr">
        <is>
          <t>Current status of hemodialysis in Iraq</t>
        </is>
      </c>
      <c r="E133" s="2" t="inlineStr">
        <is>
          <t>Iraqi National Journal of Medicine</t>
        </is>
      </c>
      <c r="F133" s="2" t="inlineStr">
        <is>
          <t>Peer-reviewed national study</t>
        </is>
      </c>
      <c r="G133" s="2" t="inlineStr">
        <is>
          <t>2025-01-16</t>
        </is>
      </c>
      <c r="H133" s="2" t="inlineStr">
        <is>
          <t>https://iqnjm.com/index.php/homepage/article/view/187</t>
        </is>
      </c>
      <c r="I133" s="2" t="inlineStr">
        <is>
          <t>OBSERVED</t>
        </is>
      </c>
      <c r="J133" s="2" t="inlineStr">
        <is>
          <t>2023 HD patients across all Iraqi governorates</t>
        </is>
      </c>
      <c r="K133" s="2" t="inlineStr">
        <is>
          <t>2026-08-10</t>
        </is>
      </c>
    </row>
    <row r="134">
      <c r="A134" s="2" t="inlineStr">
        <is>
          <t>SRC-WEB-051</t>
        </is>
      </c>
      <c r="B134" s="2" t="inlineStr">
        <is>
          <t>Iraq</t>
        </is>
      </c>
      <c r="C134" s="2" t="inlineStr">
        <is>
          <t>Alnuman Teaching Hospital</t>
        </is>
      </c>
      <c r="D134" s="2" t="inlineStr">
        <is>
          <t>Current status of hemodialysis in Baghdad</t>
        </is>
      </c>
      <c r="E134" s="2" t="inlineStr">
        <is>
          <t>PubMed / Saudi J Kidney Dis Transpl</t>
        </is>
      </c>
      <c r="F134" s="2" t="inlineStr">
        <is>
          <t>Peer-reviewed study</t>
        </is>
      </c>
      <c r="G134" s="2" t="inlineStr">
        <is>
          <t>2011-03-01</t>
        </is>
      </c>
      <c r="H134" s="2" t="inlineStr">
        <is>
          <t>https://pubmed.ncbi.nlm.nih.gov/21422648/</t>
        </is>
      </c>
      <c r="I134" s="2" t="inlineStr">
        <is>
          <t>OBSERVED</t>
        </is>
      </c>
      <c r="J134" s="2" t="inlineStr">
        <is>
          <t>Al-Kindy Teaching Hospital and five major Baghdad hospitals with HD</t>
        </is>
      </c>
      <c r="K134" s="2" t="inlineStr">
        <is>
          <t>2026-08-10</t>
        </is>
      </c>
    </row>
    <row r="135">
      <c r="A135" s="2" t="inlineStr">
        <is>
          <t>SRC-WEB-050</t>
        </is>
      </c>
      <c r="B135" s="2" t="inlineStr">
        <is>
          <t>Iraq</t>
        </is>
      </c>
      <c r="C135" s="2" t="inlineStr">
        <is>
          <t>Child Welfare Teaching Hospital</t>
        </is>
      </c>
      <c r="D135" s="2" t="inlineStr">
        <is>
          <t>Current status of hemodialysis in Iraq</t>
        </is>
      </c>
      <c r="E135" s="2" t="inlineStr">
        <is>
          <t>Iraqi National Journal of Medicine</t>
        </is>
      </c>
      <c r="F135" s="2" t="inlineStr">
        <is>
          <t>Peer-reviewed national study</t>
        </is>
      </c>
      <c r="G135" s="2" t="inlineStr">
        <is>
          <t>2025-01-16</t>
        </is>
      </c>
      <c r="H135" s="2" t="inlineStr">
        <is>
          <t>https://iqnjm.com/index.php/homepage/article/view/187</t>
        </is>
      </c>
      <c r="I135" s="2" t="inlineStr">
        <is>
          <t>OBSERVED</t>
        </is>
      </c>
      <c r="J135" s="2" t="inlineStr">
        <is>
          <t>2023 HD patients across all Iraqi governorates</t>
        </is>
      </c>
      <c r="K135" s="2" t="inlineStr">
        <is>
          <t>2026-08-10</t>
        </is>
      </c>
    </row>
    <row r="136">
      <c r="A136" s="2" t="inlineStr">
        <is>
          <t>SRC-WEB-050</t>
        </is>
      </c>
      <c r="B136" s="2" t="inlineStr">
        <is>
          <t>Iraq</t>
        </is>
      </c>
      <c r="C136" s="2" t="inlineStr">
        <is>
          <t>University of Baghdad Nephrology and Renal Transplantation Center</t>
        </is>
      </c>
      <c r="D136" s="2" t="inlineStr">
        <is>
          <t>Current status of hemodialysis in Iraq</t>
        </is>
      </c>
      <c r="E136" s="2" t="inlineStr">
        <is>
          <t>Iraqi National Journal of Medicine</t>
        </is>
      </c>
      <c r="F136" s="2" t="inlineStr">
        <is>
          <t>Peer-reviewed national study</t>
        </is>
      </c>
      <c r="G136" s="2" t="inlineStr">
        <is>
          <t>2025-01-16</t>
        </is>
      </c>
      <c r="H136" s="2" t="inlineStr">
        <is>
          <t>https://iqnjm.com/index.php/homepage/article/view/187</t>
        </is>
      </c>
      <c r="I136" s="2" t="inlineStr">
        <is>
          <t>OBSERVED</t>
        </is>
      </c>
      <c r="J136" s="2" t="inlineStr">
        <is>
          <t>2023 HD patients across all Iraqi governorates</t>
        </is>
      </c>
      <c r="K136" s="2" t="inlineStr">
        <is>
          <t>2026-08-10</t>
        </is>
      </c>
    </row>
  </sheetData>
  <autoFilter ref="A1:K1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2026-08-10T09:27:00Z</dcterms:created>
  <dcterms:modified xmlns:dcterms="http://purl.org/dc/terms/" xmlns:xsi="http://www.w3.org/2001/XMLSchema-instance" xsi:type="dcterms:W3CDTF">2026-08-10T10:39:01Z</dcterms:modified>
  <cp:lastModifiedBy>pc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49AC772F1BE44D3D9EC4B6206BAC3BD0_12</vt:lpwstr>
  </property>
  <property name="KSOProductBuildVer" fmtid="{D5CDD505-2E9C-101B-9397-08002B2CF9AE}" pid="3">
    <vt:lpwstr xmlns:vt="http://schemas.openxmlformats.org/officeDocument/2006/docPropsVTypes">1033-12.1.0.28032</vt:lpwstr>
  </property>
  <property name="CalculationRule" fmtid="{D5CDD505-2E9C-101B-9397-08002B2CF9AE}" pid="4">
    <vt:i4 xmlns:vt="http://schemas.openxmlformats.org/officeDocument/2006/docPropsVTypes">0</vt:i4>
  </property>
</Properties>
</file>